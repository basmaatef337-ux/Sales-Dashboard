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hidePivotFieldList="1"/>
  <mc:AlternateContent xmlns:mc="http://schemas.openxmlformats.org/markup-compatibility/2006">
    <mc:Choice Requires="x15">
      <x15ac:absPath xmlns:x15ac="http://schemas.microsoft.com/office/spreadsheetml/2010/11/ac" url="C:\Users\COMPUMARTS\Desktop\"/>
    </mc:Choice>
  </mc:AlternateContent>
  <xr:revisionPtr revIDLastSave="0" documentId="13_ncr:1_{0300CB6B-8F9B-4127-A010-41CD94E153FF}" xr6:coauthVersionLast="47" xr6:coauthVersionMax="47" xr10:uidLastSave="{00000000-0000-0000-0000-000000000000}"/>
  <bookViews>
    <workbookView xWindow="-110" yWindow="-110" windowWidth="19420" windowHeight="10420" firstSheet="3" activeTab="4" xr2:uid="{00000000-000D-0000-FFFF-FFFF00000000}"/>
  </bookViews>
  <sheets>
    <sheet name="Net Sales by Region &amp; Channel" sheetId="2" r:id="rId1"/>
    <sheet name="Profit Analysis by Category" sheetId="3" r:id="rId2"/>
    <sheet name="  Salesperson Performance" sheetId="4" r:id="rId3"/>
    <sheet name="Time Analysis" sheetId="5" r:id="rId4"/>
    <sheet name="Sales Band Distribution" sheetId="6" r:id="rId5"/>
    <sheet name="Sales Performance Dashboard" sheetId="7" r:id="rId6"/>
    <sheet name="KPIs" sheetId="10" r:id="rId7"/>
    <sheet name="Data" sheetId="1" r:id="rId8"/>
  </sheets>
  <definedNames>
    <definedName name="_xlcn.WorksheetConnection_Assignmet7.xlsxTable11" hidden="1">Table1[]</definedName>
    <definedName name="Slicer_Category">#N/A</definedName>
    <definedName name="Slicer_Channel">#N/A</definedName>
    <definedName name="Slicer_Net_Sales">#N/A</definedName>
    <definedName name="Slicer_Order_Month">#N/A</definedName>
    <definedName name="Slicer_Profit__Assume_fixed_margin">#N/A</definedName>
    <definedName name="Slicer_Region">#N/A</definedName>
    <definedName name="Slicer_Salesperson">#N/A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Assignmet 7.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0" l="1"/>
  <c r="A7" i="10"/>
  <c r="B7" i="10"/>
  <c r="B8" i="10"/>
  <c r="C8" i="10"/>
  <c r="A8" i="10"/>
  <c r="J9" i="2"/>
  <c r="J10" i="2"/>
  <c r="S2" i="1"/>
  <c r="S3" i="1"/>
  <c r="S4" i="1"/>
  <c r="S5" i="1"/>
  <c r="S6" i="1"/>
  <c r="S7" i="1"/>
  <c r="S8" i="1"/>
  <c r="S9" i="1"/>
  <c r="S10" i="1"/>
  <c r="S11" i="1"/>
  <c r="S12" i="1"/>
  <c r="S13" i="1"/>
  <c r="Q2" i="1"/>
  <c r="Q3" i="1"/>
  <c r="Q4" i="1"/>
  <c r="Q5" i="1"/>
  <c r="Q6" i="1"/>
  <c r="Q7" i="1"/>
  <c r="Q8" i="1"/>
  <c r="Q9" i="1"/>
  <c r="Q10" i="1"/>
  <c r="Q11" i="1"/>
  <c r="Q12" i="1"/>
  <c r="Q13" i="1"/>
  <c r="P2" i="1"/>
  <c r="P3" i="1"/>
  <c r="P4" i="1"/>
  <c r="P5" i="1"/>
  <c r="P6" i="1"/>
  <c r="P7" i="1"/>
  <c r="P8" i="1"/>
  <c r="P9" i="1"/>
  <c r="P10" i="1"/>
  <c r="P11" i="1"/>
  <c r="P12" i="1"/>
  <c r="P13" i="1"/>
  <c r="M2" i="1"/>
  <c r="N2" i="1" s="1"/>
  <c r="M3" i="1"/>
  <c r="N3" i="1" s="1"/>
  <c r="M4" i="1"/>
  <c r="N4" i="1" s="1"/>
  <c r="M5" i="1"/>
  <c r="N5" i="1" s="1"/>
  <c r="M6" i="1"/>
  <c r="N6" i="1" s="1"/>
  <c r="M7" i="1"/>
  <c r="N7" i="1" s="1"/>
  <c r="M8" i="1"/>
  <c r="N8" i="1" s="1"/>
  <c r="M9" i="1"/>
  <c r="N9" i="1" s="1"/>
  <c r="M10" i="1"/>
  <c r="N10" i="1" s="1"/>
  <c r="M11" i="1"/>
  <c r="N11" i="1" s="1"/>
  <c r="M12" i="1"/>
  <c r="N12" i="1" s="1"/>
  <c r="M13" i="1"/>
  <c r="N13" i="1" s="1"/>
  <c r="O8" i="1" l="1"/>
  <c r="R8" i="1" s="1"/>
  <c r="O9" i="1"/>
  <c r="R9" i="1" s="1"/>
  <c r="O7" i="1"/>
  <c r="R7" i="1" s="1"/>
  <c r="O6" i="1"/>
  <c r="R6" i="1" s="1"/>
  <c r="O12" i="1"/>
  <c r="R12" i="1" s="1"/>
  <c r="O4" i="1"/>
  <c r="R4" i="1" s="1"/>
  <c r="O5" i="1"/>
  <c r="R5" i="1" s="1"/>
  <c r="O11" i="1"/>
  <c r="R11" i="1" s="1"/>
  <c r="O3" i="1"/>
  <c r="R3" i="1" s="1"/>
  <c r="O13" i="1"/>
  <c r="R13" i="1" s="1"/>
  <c r="O10" i="1"/>
  <c r="R10" i="1" s="1"/>
  <c r="O2" i="1"/>
  <c r="R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4D28D7-5BE3-46C5-ADEB-D965F60971F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4433078-4847-4BC8-BDEF-04EFE1A5113E}" name="WorksheetConnection_Assignmet 7.xlsx!Table1" type="102" refreshedVersion="7" minRefreshableVersion="5">
    <extLst>
      <ext xmlns:x15="http://schemas.microsoft.com/office/spreadsheetml/2010/11/main" uri="{DE250136-89BD-433C-8126-D09CA5730AF9}">
        <x15:connection id="Table1" autoDelete="1">
          <x15:rangePr sourceName="_xlcn.WorksheetConnection_Assignmet7.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1].[Country].[All]}"/>
    <s v="{[Table1].[Channel].[All]}"/>
    <s v="{[Table1].[Order Quarter].[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<sst xmlns="http://schemas.openxmlformats.org/spreadsheetml/2006/main" count="163" uniqueCount="71">
  <si>
    <t>OrderID</t>
  </si>
  <si>
    <t>OrderDate</t>
  </si>
  <si>
    <t>Region</t>
  </si>
  <si>
    <t>Country</t>
  </si>
  <si>
    <t>City</t>
  </si>
  <si>
    <t>Salesperson</t>
  </si>
  <si>
    <t>Channel</t>
  </si>
  <si>
    <t>Product</t>
  </si>
  <si>
    <t>Category</t>
  </si>
  <si>
    <t>UnitsSold</t>
  </si>
  <si>
    <t>UnitPrice</t>
  </si>
  <si>
    <t>Discount</t>
  </si>
  <si>
    <t>East</t>
  </si>
  <si>
    <t>Egypt</t>
  </si>
  <si>
    <t>Cairo</t>
  </si>
  <si>
    <t>Ahmed</t>
  </si>
  <si>
    <t>Online</t>
  </si>
  <si>
    <t>Laptop</t>
  </si>
  <si>
    <t>Electronics</t>
  </si>
  <si>
    <t>West</t>
  </si>
  <si>
    <t>Alex</t>
  </si>
  <si>
    <t>Sara</t>
  </si>
  <si>
    <t>Retail</t>
  </si>
  <si>
    <t>Mouse</t>
  </si>
  <si>
    <t>Accessories</t>
  </si>
  <si>
    <t>Mona</t>
  </si>
  <si>
    <t>Keyboard</t>
  </si>
  <si>
    <t>North</t>
  </si>
  <si>
    <t>KSA</t>
  </si>
  <si>
    <t>Riyadh</t>
  </si>
  <si>
    <t>Omar</t>
  </si>
  <si>
    <t>Distributor</t>
  </si>
  <si>
    <t>South</t>
  </si>
  <si>
    <t>UAE</t>
  </si>
  <si>
    <t>Dubai</t>
  </si>
  <si>
    <t>Lina</t>
  </si>
  <si>
    <t>Monitor</t>
  </si>
  <si>
    <t>Giza</t>
  </si>
  <si>
    <t>Jeddah</t>
  </si>
  <si>
    <t>Abu Dhabi</t>
  </si>
  <si>
    <t>Tanta</t>
  </si>
  <si>
    <t>Gross sales</t>
  </si>
  <si>
    <t>Discount Amount</t>
  </si>
  <si>
    <t>Net Sales</t>
  </si>
  <si>
    <t>Order Month</t>
  </si>
  <si>
    <t>Order Quarter</t>
  </si>
  <si>
    <t>Sales Band</t>
  </si>
  <si>
    <t>Profit (Assume fixed margin)</t>
  </si>
  <si>
    <t>Row Labels</t>
  </si>
  <si>
    <t>Grand Total</t>
  </si>
  <si>
    <t>Column Labels</t>
  </si>
  <si>
    <t>Sum of Net Sales</t>
  </si>
  <si>
    <t>Sum of Profit (Assume fixed margin)</t>
  </si>
  <si>
    <t>All</t>
  </si>
  <si>
    <t>April</t>
  </si>
  <si>
    <t>August</t>
  </si>
  <si>
    <t>December</t>
  </si>
  <si>
    <t>February</t>
  </si>
  <si>
    <t>January</t>
  </si>
  <si>
    <t>July</t>
  </si>
  <si>
    <t>June</t>
  </si>
  <si>
    <t>March</t>
  </si>
  <si>
    <t>May</t>
  </si>
  <si>
    <t>November</t>
  </si>
  <si>
    <t>October</t>
  </si>
  <si>
    <t>September</t>
  </si>
  <si>
    <t>High</t>
  </si>
  <si>
    <t>Low</t>
  </si>
  <si>
    <t>Medium</t>
  </si>
  <si>
    <t>Count of OrderID</t>
  </si>
  <si>
    <t>Sum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</si>
</sst>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3" x14ac:knownFonts="1">
    <font>
      <sz val="11"/>
      <color theme="1"/>
      <name val="Calibri"/>
      <family val="2"/>
      <scheme val="minor"/>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14" fontId="2" fillId="0" borderId="0" xfId="0" applyNumberFormat="1" applyFont="1" applyAlignment="1">
      <alignment vertical="center" wrapText="1"/>
    </xf>
    <xf numFmtId="9" fontId="2" fillId="0" borderId="0" xfId="0" applyNumberFormat="1" applyFont="1" applyAlignment="1">
      <alignment vertical="center" wrapText="1"/>
    </xf>
    <xf numFmtId="0" fontId="2" fillId="0" borderId="0" xfId="0" applyNumberFormat="1" applyFont="1" applyAlignment="1">
      <alignment vertical="center" wrapText="1"/>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2" borderId="0" xfId="0" applyFill="1"/>
    <xf numFmtId="0" fontId="0" fillId="3" borderId="0" xfId="0" applyFill="1"/>
    <xf numFmtId="165" fontId="0" fillId="0" borderId="0" xfId="0" applyNumberFormat="1"/>
  </cellXfs>
  <cellStyles count="1">
    <cellStyle name="Normal" xfId="0" builtinId="0"/>
  </cellStyles>
  <dxfs count="31">
    <dxf>
      <font>
        <b val="0"/>
        <i val="0"/>
        <strike val="0"/>
        <condense val="0"/>
        <extend val="0"/>
        <outline val="0"/>
        <shadow val="0"/>
        <u val="none"/>
        <vertAlign val="baseline"/>
        <sz val="12"/>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19" formatCode="m/d/yyyy"/>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numFmt numFmtId="165" formatCode="&quot;$&quot;#,##0.0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pivotCacheDefinition" Target="pivotCache/pivotCacheDefinition2.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7.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[Assignmet 7.xlsx]Net Sales by Region &amp; Channel!PivotTable1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Sales by Region &amp;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 Sales by Region &amp; Channel'!$B$3:$B$5</c:f>
              <c:strCache>
                <c:ptCount val="1"/>
                <c:pt idx="0">
                  <c:v>East - Online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Channel'!$B$6</c:f>
              <c:numCache>
                <c:formatCode>"$"#,##0</c:formatCode>
                <c:ptCount val="1"/>
                <c:pt idx="0">
                  <c:v>37742</c:v>
                </c:pt>
              </c:numCache>
            </c:numRef>
          </c:val>
          <c:extLst>
            <c:ext xmlns:c16="http://schemas.microsoft.com/office/drawing/2014/chart" uri="{C3380CC4-5D6E-409C-BE32-E72D297353CC}">
              <c16:uniqueId val="{0000000C-E4DE-4095-98A9-CEA258C98B13}"/>
            </c:ext>
          </c:extLst>
        </c:ser>
        <c:ser>
          <c:idx val="1"/>
          <c:order val="1"/>
          <c:tx>
            <c:strRef>
              <c:f>'Net Sales by Region &amp; Channel'!$C$3:$C$5</c:f>
              <c:strCache>
                <c:ptCount val="1"/>
                <c:pt idx="0">
                  <c:v>East - Retail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Channel'!$C$6</c:f>
              <c:numCache>
                <c:formatCode>"$"#,##0</c:formatCode>
                <c:ptCount val="1"/>
                <c:pt idx="0">
                  <c:v>21460</c:v>
                </c:pt>
              </c:numCache>
            </c:numRef>
          </c:val>
          <c:extLst>
            <c:ext xmlns:c16="http://schemas.microsoft.com/office/drawing/2014/chart" uri="{C3380CC4-5D6E-409C-BE32-E72D297353CC}">
              <c16:uniqueId val="{0000000D-E4DE-4095-98A9-CEA258C98B13}"/>
            </c:ext>
          </c:extLst>
        </c:ser>
        <c:ser>
          <c:idx val="2"/>
          <c:order val="2"/>
          <c:tx>
            <c:strRef>
              <c:f>'Net Sales by Region &amp; Channel'!$D$3:$D$5</c:f>
              <c:strCache>
                <c:ptCount val="1"/>
                <c:pt idx="0">
                  <c:v>North - Distributor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Channel'!$D$6</c:f>
              <c:numCache>
                <c:formatCode>"$"#,##0</c:formatCode>
                <c:ptCount val="1"/>
                <c:pt idx="0">
                  <c:v>31858</c:v>
                </c:pt>
              </c:numCache>
            </c:numRef>
          </c:val>
          <c:extLst>
            <c:ext xmlns:c16="http://schemas.microsoft.com/office/drawing/2014/chart" uri="{C3380CC4-5D6E-409C-BE32-E72D297353CC}">
              <c16:uniqueId val="{0000000E-E4DE-4095-98A9-CEA258C98B13}"/>
            </c:ext>
          </c:extLst>
        </c:ser>
        <c:ser>
          <c:idx val="3"/>
          <c:order val="3"/>
          <c:tx>
            <c:strRef>
              <c:f>'Net Sales by Region &amp; Channel'!$E$3:$E$5</c:f>
              <c:strCache>
                <c:ptCount val="1"/>
                <c:pt idx="0">
                  <c:v>South - Distributor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Channel'!$E$6</c:f>
              <c:numCache>
                <c:formatCode>"$"#,##0</c:formatCode>
                <c:ptCount val="1"/>
                <c:pt idx="0">
                  <c:v>35100</c:v>
                </c:pt>
              </c:numCache>
            </c:numRef>
          </c:val>
          <c:extLst>
            <c:ext xmlns:c16="http://schemas.microsoft.com/office/drawing/2014/chart" uri="{C3380CC4-5D6E-409C-BE32-E72D297353CC}">
              <c16:uniqueId val="{0000000F-E4DE-4095-98A9-CEA258C98B13}"/>
            </c:ext>
          </c:extLst>
        </c:ser>
        <c:ser>
          <c:idx val="4"/>
          <c:order val="4"/>
          <c:tx>
            <c:strRef>
              <c:f>'Net Sales by Region &amp; Channel'!$F$3:$F$5</c:f>
              <c:strCache>
                <c:ptCount val="1"/>
                <c:pt idx="0">
                  <c:v>South - Online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Channel'!$F$6</c:f>
              <c:numCache>
                <c:formatCode>"$"#,##0</c:formatCode>
                <c:ptCount val="1"/>
                <c:pt idx="0">
                  <c:v>3325</c:v>
                </c:pt>
              </c:numCache>
            </c:numRef>
          </c:val>
          <c:extLst>
            <c:ext xmlns:c16="http://schemas.microsoft.com/office/drawing/2014/chart" uri="{C3380CC4-5D6E-409C-BE32-E72D297353CC}">
              <c16:uniqueId val="{00000010-E4DE-4095-98A9-CEA258C98B13}"/>
            </c:ext>
          </c:extLst>
        </c:ser>
        <c:ser>
          <c:idx val="5"/>
          <c:order val="5"/>
          <c:tx>
            <c:strRef>
              <c:f>'Net Sales by Region &amp; Channel'!$G$3:$G$5</c:f>
              <c:strCache>
                <c:ptCount val="1"/>
                <c:pt idx="0">
                  <c:v>South - Retail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Channel'!$G$6</c:f>
              <c:numCache>
                <c:formatCode>"$"#,##0</c:formatCode>
                <c:ptCount val="1"/>
                <c:pt idx="0">
                  <c:v>17670</c:v>
                </c:pt>
              </c:numCache>
            </c:numRef>
          </c:val>
          <c:extLst>
            <c:ext xmlns:c16="http://schemas.microsoft.com/office/drawing/2014/chart" uri="{C3380CC4-5D6E-409C-BE32-E72D297353CC}">
              <c16:uniqueId val="{00000011-E4DE-4095-98A9-CEA258C98B13}"/>
            </c:ext>
          </c:extLst>
        </c:ser>
        <c:ser>
          <c:idx val="6"/>
          <c:order val="6"/>
          <c:tx>
            <c:strRef>
              <c:f>'Net Sales by Region &amp; Channel'!$H$3:$H$5</c:f>
              <c:strCache>
                <c:ptCount val="1"/>
                <c:pt idx="0">
                  <c:v>West - Online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Channel'!$H$6</c:f>
              <c:numCache>
                <c:formatCode>"$"#,##0</c:formatCode>
                <c:ptCount val="1"/>
                <c:pt idx="0">
                  <c:v>34532</c:v>
                </c:pt>
              </c:numCache>
            </c:numRef>
          </c:val>
          <c:extLst>
            <c:ext xmlns:c16="http://schemas.microsoft.com/office/drawing/2014/chart" uri="{C3380CC4-5D6E-409C-BE32-E72D297353CC}">
              <c16:uniqueId val="{00000012-E4DE-4095-98A9-CEA258C98B13}"/>
            </c:ext>
          </c:extLst>
        </c:ser>
        <c:ser>
          <c:idx val="7"/>
          <c:order val="7"/>
          <c:tx>
            <c:strRef>
              <c:f>'Net Sales by Region &amp; Channel'!$I$3:$I$5</c:f>
              <c:strCache>
                <c:ptCount val="1"/>
                <c:pt idx="0">
                  <c:v>West - Retail</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Channel'!$I$6</c:f>
              <c:numCache>
                <c:formatCode>"$"#,##0</c:formatCode>
                <c:ptCount val="1"/>
                <c:pt idx="0">
                  <c:v>6804.8</c:v>
                </c:pt>
              </c:numCache>
            </c:numRef>
          </c:val>
          <c:extLst>
            <c:ext xmlns:c16="http://schemas.microsoft.com/office/drawing/2014/chart" uri="{C3380CC4-5D6E-409C-BE32-E72D297353CC}">
              <c16:uniqueId val="{00000013-E4DE-4095-98A9-CEA258C98B13}"/>
            </c:ext>
          </c:extLst>
        </c:ser>
        <c:dLbls>
          <c:dLblPos val="outEnd"/>
          <c:showLegendKey val="0"/>
          <c:showVal val="1"/>
          <c:showCatName val="0"/>
          <c:showSerName val="0"/>
          <c:showPercent val="0"/>
          <c:showBubbleSize val="0"/>
        </c:dLbls>
        <c:gapWidth val="100"/>
        <c:overlap val="-24"/>
        <c:axId val="1740784896"/>
        <c:axId val="1740785728"/>
      </c:barChart>
      <c:catAx>
        <c:axId val="1740784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785728"/>
        <c:crosses val="autoZero"/>
        <c:auto val="1"/>
        <c:lblAlgn val="ctr"/>
        <c:lblOffset val="100"/>
        <c:noMultiLvlLbl val="0"/>
      </c:catAx>
      <c:valAx>
        <c:axId val="1740785728"/>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78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[Assignmet 7.xlsx]Profit Analysis by Category!PivotTable2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pPr>
            <a:solidFill>
              <a:schemeClr val="accent2"/>
            </a:solidFill>
            <a:ln w="9525">
              <a:solidFill>
                <a:schemeClr val="l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pPr>
            <a:solidFill>
              <a:schemeClr val="accent2"/>
            </a:solidFill>
            <a:ln w="9525">
              <a:solidFill>
                <a:schemeClr val="l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s>
    <c:plotArea>
      <c:layout/>
      <c:doughnutChart>
        <c:varyColors val="1"/>
        <c:ser>
          <c:idx val="0"/>
          <c:order val="0"/>
          <c:tx>
            <c:strRef>
              <c:f>'Profit Analysis by Category'!$B$3</c:f>
              <c:strCache>
                <c:ptCount val="1"/>
                <c:pt idx="0">
                  <c:v>Total</c:v>
                </c:pt>
              </c:strCache>
            </c:strRef>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AB11-4886-90FE-1777A8E01E20}"/>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AB11-4886-90FE-1777A8E01E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'Profit Analysis by Category'!$A$4:$A$6</c:f>
              <c:strCache>
                <c:ptCount val="2"/>
                <c:pt idx="0">
                  <c:v>Accessories</c:v>
                </c:pt>
                <c:pt idx="1">
                  <c:v>Electronics</c:v>
                </c:pt>
              </c:strCache>
            </c:strRef>
          </c:cat>
          <c:val>
            <c:numRef>
              <c:f>'Profit Analysis by Category'!$B$4:$B$6</c:f>
              <c:numCache>
                <c:formatCode>0.00%</c:formatCode>
                <c:ptCount val="2"/>
                <c:pt idx="0">
                  <c:v>0.1422941352736207</c:v>
                </c:pt>
                <c:pt idx="1">
                  <c:v>0.85770586472637922</c:v>
                </c:pt>
              </c:numCache>
            </c:numRef>
          </c:val>
          <c:extLst>
            <c:ext xmlns:c16="http://schemas.microsoft.com/office/drawing/2014/chart" uri="{C3380CC4-5D6E-409C-BE32-E72D297353CC}">
              <c16:uniqueId val="{00000000-ABB4-405C-9738-60036385022E}"/>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[Assignmet 7.xlsx]  Salesperson Performance!PivotTable3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Salesperson Net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Salesperson Performance'!$B$4</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Salesperson Performance'!$A$5:$A$10</c:f>
              <c:strCache>
                <c:ptCount val="5"/>
                <c:pt idx="0">
                  <c:v>Ahmed</c:v>
                </c:pt>
                <c:pt idx="1">
                  <c:v>Lina</c:v>
                </c:pt>
                <c:pt idx="2">
                  <c:v>Mona</c:v>
                </c:pt>
                <c:pt idx="3">
                  <c:v>Omar</c:v>
                </c:pt>
                <c:pt idx="4">
                  <c:v>Sara</c:v>
                </c:pt>
              </c:strCache>
            </c:strRef>
          </c:cat>
          <c:val>
            <c:numRef>
              <c:f>'  Salesperson Performance'!$B$5:$B$10</c:f>
              <c:numCache>
                <c:formatCode>"$"#,##0</c:formatCode>
                <c:ptCount val="5"/>
                <c:pt idx="0">
                  <c:v>38750</c:v>
                </c:pt>
                <c:pt idx="1">
                  <c:v>56095</c:v>
                </c:pt>
                <c:pt idx="2">
                  <c:v>20452</c:v>
                </c:pt>
                <c:pt idx="3">
                  <c:v>31858</c:v>
                </c:pt>
                <c:pt idx="4">
                  <c:v>41336.800000000003</c:v>
                </c:pt>
              </c:numCache>
            </c:numRef>
          </c:val>
          <c:extLst>
            <c:ext xmlns:c16="http://schemas.microsoft.com/office/drawing/2014/chart" uri="{C3380CC4-5D6E-409C-BE32-E72D297353CC}">
              <c16:uniqueId val="{00000000-9929-4F92-A7A1-655D03B7C7CF}"/>
            </c:ext>
          </c:extLst>
        </c:ser>
        <c:ser>
          <c:idx val="1"/>
          <c:order val="1"/>
          <c:tx>
            <c:strRef>
              <c:f>'  Salesperson Performance'!$C$4</c:f>
              <c:strCache>
                <c:ptCount val="1"/>
                <c:pt idx="0">
                  <c:v>Sum of Profit (Assume fixed 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Salesperson Performance'!$A$5:$A$10</c:f>
              <c:strCache>
                <c:ptCount val="5"/>
                <c:pt idx="0">
                  <c:v>Ahmed</c:v>
                </c:pt>
                <c:pt idx="1">
                  <c:v>Lina</c:v>
                </c:pt>
                <c:pt idx="2">
                  <c:v>Mona</c:v>
                </c:pt>
                <c:pt idx="3">
                  <c:v>Omar</c:v>
                </c:pt>
                <c:pt idx="4">
                  <c:v>Sara</c:v>
                </c:pt>
              </c:strCache>
            </c:strRef>
          </c:cat>
          <c:val>
            <c:numRef>
              <c:f>'  Salesperson Performance'!$C$5:$C$10</c:f>
              <c:numCache>
                <c:formatCode>"$"#,##0</c:formatCode>
                <c:ptCount val="5"/>
                <c:pt idx="0">
                  <c:v>8290</c:v>
                </c:pt>
                <c:pt idx="1">
                  <c:v>11717.75</c:v>
                </c:pt>
                <c:pt idx="2">
                  <c:v>4479.2</c:v>
                </c:pt>
                <c:pt idx="3">
                  <c:v>6371.6</c:v>
                </c:pt>
                <c:pt idx="4">
                  <c:v>9288.08</c:v>
                </c:pt>
              </c:numCache>
            </c:numRef>
          </c:val>
          <c:extLst>
            <c:ext xmlns:c16="http://schemas.microsoft.com/office/drawing/2014/chart" uri="{C3380CC4-5D6E-409C-BE32-E72D297353CC}">
              <c16:uniqueId val="{00000001-9929-4F92-A7A1-655D03B7C7CF}"/>
            </c:ext>
          </c:extLst>
        </c:ser>
        <c:dLbls>
          <c:dLblPos val="outEnd"/>
          <c:showLegendKey val="0"/>
          <c:showVal val="1"/>
          <c:showCatName val="0"/>
          <c:showSerName val="0"/>
          <c:showPercent val="0"/>
          <c:showBubbleSize val="0"/>
        </c:dLbls>
        <c:gapWidth val="115"/>
        <c:overlap val="-20"/>
        <c:axId val="1739636304"/>
        <c:axId val="1739631312"/>
      </c:barChart>
      <c:catAx>
        <c:axId val="1739636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631312"/>
        <c:crosses val="autoZero"/>
        <c:auto val="1"/>
        <c:lblAlgn val="ctr"/>
        <c:lblOffset val="100"/>
        <c:noMultiLvlLbl val="0"/>
      </c:catAx>
      <c:valAx>
        <c:axId val="1739631312"/>
        <c:scaling>
          <c:orientation val="minMax"/>
        </c:scaling>
        <c:delete val="0"/>
        <c:axPos val="b"/>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63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[Assignmet 7.xlsx]Time Analysis!PivotTable4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Net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Analysis'!$B$3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'Time Analysis'!$A$4:$A$16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'Time Analysis'!$B$4:$B$16</c:f>
              <c:numCache>
                <c:formatCode>"$"#,##0</c:formatCode>
                <c:ptCount val="12"/>
                <c:pt idx="0">
                  <c:v>19530</c:v>
                </c:pt>
                <c:pt idx="1">
                  <c:v>12328</c:v>
                </c:pt>
                <c:pt idx="2">
                  <c:v>35100</c:v>
                </c:pt>
                <c:pt idx="3">
                  <c:v>3120</c:v>
                </c:pt>
                <c:pt idx="4">
                  <c:v>35150</c:v>
                </c:pt>
                <c:pt idx="5">
                  <c:v>3600</c:v>
                </c:pt>
                <c:pt idx="6">
                  <c:v>34532</c:v>
                </c:pt>
                <c:pt idx="7">
                  <c:v>2592</c:v>
                </c:pt>
                <c:pt idx="8">
                  <c:v>17670</c:v>
                </c:pt>
                <c:pt idx="9">
                  <c:v>3684.8</c:v>
                </c:pt>
                <c:pt idx="10">
                  <c:v>17860</c:v>
                </c:pt>
                <c:pt idx="11">
                  <c:v>3325</c:v>
                </c:pt>
              </c:numCache>
            </c:numRef>
          </c:val>
          <c:smooth val="0"/>
          <c:extLst>
            <c:ext xmlns:c16="http://schemas.microsoft.com/office/drawing/2014/chart" uri="{C3380CC4-5D6E-409C-BE32-E72D297353CC}">
              <c16:uniqueId val="{00000000-40F2-4782-AF8C-EB56B8E51071}"/>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6">
                    <a:lumMod val="60000"/>
                    <a:lumOff val="40000"/>
                  </a:schemeClr>
                </a:solidFill>
              </a:ln>
              <a:effectLst/>
            </c:spPr>
          </c:upBars>
          <c:downBars>
            <c:spPr>
              <a:solidFill>
                <a:schemeClr val="dk1">
                  <a:lumMod val="35000"/>
                  <a:lumOff val="65000"/>
                </a:schemeClr>
              </a:solidFill>
              <a:ln w="9525">
                <a:solidFill>
                  <a:schemeClr val="accent6">
                    <a:lumMod val="60000"/>
                    <a:lumOff val="40000"/>
                  </a:schemeClr>
                </a:solidFill>
              </a:ln>
              <a:effectLst/>
            </c:spPr>
          </c:downBars>
        </c:upDownBars>
        <c:marker val="1"/>
        <c:smooth val="0"/>
        <c:axId val="1742463920"/>
        <c:axId val="1742461424"/>
      </c:lineChart>
      <c:catAx>
        <c:axId val="1742463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42461424"/>
        <c:crosses val="autoZero"/>
        <c:auto val="1"/>
        <c:lblAlgn val="ctr"/>
        <c:lblOffset val="100"/>
        <c:noMultiLvlLbl val="0"/>
      </c:catAx>
      <c:valAx>
        <c:axId val="174246142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4246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[Assignmet 7.xlsx]Sales Band Distribution!PivotTable5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Band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Band Distribution'!$B$3</c:f>
              <c:strCache>
                <c:ptCount val="1"/>
                <c:pt idx="0">
                  <c:v>Count of OrderID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Band Distribution'!$A$4:$A$7</c:f>
              <c:strCache>
                <c:ptCount val="3"/>
                <c:pt idx="0">
                  <c:v>High</c:v>
                </c:pt>
                <c:pt idx="1">
                  <c:v>Low</c:v>
                </c:pt>
                <c:pt idx="2">
                  <c:v>Medium</c:v>
                </c:pt>
              </c:strCache>
            </c:strRef>
          </c:cat>
          <c:val>
            <c:numRef>
              <c:f>'Sales Band Distribution'!$B$4:$B$7</c:f>
              <c:numCache>
                <c:formatCode>General</c:formatCode>
                <c:ptCount val="3"/>
                <c:pt idx="0">
                  <c:v>3</c:v>
                </c:pt>
                <c:pt idx="1">
                  <c:v>5</c:v>
                </c:pt>
                <c:pt idx="2">
                  <c:v>4</c:v>
                </c:pt>
              </c:numCache>
            </c:numRef>
          </c:val>
          <c:extLst>
            <c:ext xmlns:c16="http://schemas.microsoft.com/office/drawing/2014/chart" uri="{C3380CC4-5D6E-409C-BE32-E72D297353CC}">
              <c16:uniqueId val="{00000000-66D1-4B2E-9F95-5B284A32C5D3}"/>
            </c:ext>
          </c:extLst>
        </c:ser>
        <c:dLbls>
          <c:showLegendKey val="0"/>
          <c:showVal val="0"/>
          <c:showCatName val="0"/>
          <c:showSerName val="0"/>
          <c:showPercent val="0"/>
          <c:showBubbleSize val="0"/>
        </c:dLbls>
        <c:gapWidth val="100"/>
        <c:axId val="1545470463"/>
        <c:axId val="1545450911"/>
      </c:barChart>
      <c:lineChart>
        <c:grouping val="standard"/>
        <c:varyColors val="0"/>
        <c:ser>
          <c:idx val="1"/>
          <c:order val="1"/>
          <c:tx>
            <c:strRef>
              <c:f>'Sales Band Distribution'!$C$3</c:f>
              <c:strCache>
                <c:ptCount val="1"/>
                <c:pt idx="0">
                  <c:v>Sum of Net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Band Distribution'!$A$4:$A$7</c:f>
              <c:strCache>
                <c:ptCount val="3"/>
                <c:pt idx="0">
                  <c:v>High</c:v>
                </c:pt>
                <c:pt idx="1">
                  <c:v>Low</c:v>
                </c:pt>
                <c:pt idx="2">
                  <c:v>Medium</c:v>
                </c:pt>
              </c:strCache>
            </c:strRef>
          </c:cat>
          <c:val>
            <c:numRef>
              <c:f>'Sales Band Distribution'!$C$4:$C$7</c:f>
              <c:numCache>
                <c:formatCode>General</c:formatCode>
                <c:ptCount val="3"/>
                <c:pt idx="0">
                  <c:v>104782</c:v>
                </c:pt>
                <c:pt idx="1">
                  <c:v>16321.8</c:v>
                </c:pt>
                <c:pt idx="2">
                  <c:v>67388</c:v>
                </c:pt>
              </c:numCache>
            </c:numRef>
          </c:val>
          <c:smooth val="0"/>
          <c:extLst>
            <c:ext xmlns:c16="http://schemas.microsoft.com/office/drawing/2014/chart" uri="{C3380CC4-5D6E-409C-BE32-E72D297353CC}">
              <c16:uniqueId val="{00000001-66D1-4B2E-9F95-5B284A32C5D3}"/>
            </c:ext>
          </c:extLst>
        </c:ser>
        <c:dLbls>
          <c:showLegendKey val="0"/>
          <c:showVal val="0"/>
          <c:showCatName val="0"/>
          <c:showSerName val="0"/>
          <c:showPercent val="0"/>
          <c:showBubbleSize val="0"/>
        </c:dLbls>
        <c:marker val="1"/>
        <c:smooth val="0"/>
        <c:axId val="1884564928"/>
        <c:axId val="1884563680"/>
      </c:lineChart>
      <c:catAx>
        <c:axId val="1884564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4563680"/>
        <c:crosses val="autoZero"/>
        <c:auto val="1"/>
        <c:lblAlgn val="ctr"/>
        <c:lblOffset val="100"/>
        <c:noMultiLvlLbl val="0"/>
      </c:catAx>
      <c:valAx>
        <c:axId val="1884563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4564928"/>
        <c:crosses val="autoZero"/>
        <c:crossBetween val="between"/>
      </c:valAx>
      <c:valAx>
        <c:axId val="15454509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5470463"/>
        <c:crosses val="max"/>
        <c:crossBetween val="between"/>
      </c:valAx>
      <c:catAx>
        <c:axId val="1545470463"/>
        <c:scaling>
          <c:orientation val="minMax"/>
        </c:scaling>
        <c:delete val="1"/>
        <c:axPos val="b"/>
        <c:numFmt formatCode="General" sourceLinked="1"/>
        <c:majorTickMark val="out"/>
        <c:minorTickMark val="none"/>
        <c:tickLblPos val="nextTo"/>
        <c:crossAx val="154545091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[Assignmet 7.xlsx]Net Sales by Region &amp; Channel!PivotTable1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Sales by Region &amp;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 Sales by Region &amp; Channel'!$B$3:$B$5</c:f>
              <c:strCache>
                <c:ptCount val="1"/>
                <c:pt idx="0">
                  <c:v>East - Online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Channel'!$B$6</c:f>
              <c:numCache>
                <c:formatCode>"$"#,##0</c:formatCode>
                <c:ptCount val="1"/>
                <c:pt idx="0">
                  <c:v>37742</c:v>
                </c:pt>
              </c:numCache>
            </c:numRef>
          </c:val>
          <c:extLst>
            <c:ext xmlns:c16="http://schemas.microsoft.com/office/drawing/2014/chart" uri="{C3380CC4-5D6E-409C-BE32-E72D297353CC}">
              <c16:uniqueId val="{0000000C-5386-47ED-AE9C-E9D6C1BA68E6}"/>
            </c:ext>
          </c:extLst>
        </c:ser>
        <c:ser>
          <c:idx val="1"/>
          <c:order val="1"/>
          <c:tx>
            <c:strRef>
              <c:f>'Net Sales by Region &amp; Channel'!$C$3:$C$5</c:f>
              <c:strCache>
                <c:ptCount val="1"/>
                <c:pt idx="0">
                  <c:v>East - Retail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Channel'!$C$6</c:f>
              <c:numCache>
                <c:formatCode>"$"#,##0</c:formatCode>
                <c:ptCount val="1"/>
                <c:pt idx="0">
                  <c:v>21460</c:v>
                </c:pt>
              </c:numCache>
            </c:numRef>
          </c:val>
          <c:extLst>
            <c:ext xmlns:c16="http://schemas.microsoft.com/office/drawing/2014/chart" uri="{C3380CC4-5D6E-409C-BE32-E72D297353CC}">
              <c16:uniqueId val="{0000000D-5386-47ED-AE9C-E9D6C1BA68E6}"/>
            </c:ext>
          </c:extLst>
        </c:ser>
        <c:ser>
          <c:idx val="2"/>
          <c:order val="2"/>
          <c:tx>
            <c:strRef>
              <c:f>'Net Sales by Region &amp; Channel'!$D$3:$D$5</c:f>
              <c:strCache>
                <c:ptCount val="1"/>
                <c:pt idx="0">
                  <c:v>North - Distributor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Channel'!$D$6</c:f>
              <c:numCache>
                <c:formatCode>"$"#,##0</c:formatCode>
                <c:ptCount val="1"/>
                <c:pt idx="0">
                  <c:v>31858</c:v>
                </c:pt>
              </c:numCache>
            </c:numRef>
          </c:val>
          <c:extLst>
            <c:ext xmlns:c16="http://schemas.microsoft.com/office/drawing/2014/chart" uri="{C3380CC4-5D6E-409C-BE32-E72D297353CC}">
              <c16:uniqueId val="{0000000E-5386-47ED-AE9C-E9D6C1BA68E6}"/>
            </c:ext>
          </c:extLst>
        </c:ser>
        <c:ser>
          <c:idx val="3"/>
          <c:order val="3"/>
          <c:tx>
            <c:strRef>
              <c:f>'Net Sales by Region &amp; Channel'!$E$3:$E$5</c:f>
              <c:strCache>
                <c:ptCount val="1"/>
                <c:pt idx="0">
                  <c:v>South - Distributor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Channel'!$E$6</c:f>
              <c:numCache>
                <c:formatCode>"$"#,##0</c:formatCode>
                <c:ptCount val="1"/>
                <c:pt idx="0">
                  <c:v>35100</c:v>
                </c:pt>
              </c:numCache>
            </c:numRef>
          </c:val>
          <c:extLst>
            <c:ext xmlns:c16="http://schemas.microsoft.com/office/drawing/2014/chart" uri="{C3380CC4-5D6E-409C-BE32-E72D297353CC}">
              <c16:uniqueId val="{0000000F-5386-47ED-AE9C-E9D6C1BA68E6}"/>
            </c:ext>
          </c:extLst>
        </c:ser>
        <c:ser>
          <c:idx val="4"/>
          <c:order val="4"/>
          <c:tx>
            <c:strRef>
              <c:f>'Net Sales by Region &amp; Channel'!$F$3:$F$5</c:f>
              <c:strCache>
                <c:ptCount val="1"/>
                <c:pt idx="0">
                  <c:v>South - Online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Channel'!$F$6</c:f>
              <c:numCache>
                <c:formatCode>"$"#,##0</c:formatCode>
                <c:ptCount val="1"/>
                <c:pt idx="0">
                  <c:v>3325</c:v>
                </c:pt>
              </c:numCache>
            </c:numRef>
          </c:val>
          <c:extLst>
            <c:ext xmlns:c16="http://schemas.microsoft.com/office/drawing/2014/chart" uri="{C3380CC4-5D6E-409C-BE32-E72D297353CC}">
              <c16:uniqueId val="{00000010-5386-47ED-AE9C-E9D6C1BA68E6}"/>
            </c:ext>
          </c:extLst>
        </c:ser>
        <c:ser>
          <c:idx val="5"/>
          <c:order val="5"/>
          <c:tx>
            <c:strRef>
              <c:f>'Net Sales by Region &amp; Channel'!$G$3:$G$5</c:f>
              <c:strCache>
                <c:ptCount val="1"/>
                <c:pt idx="0">
                  <c:v>South - Retail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Channel'!$G$6</c:f>
              <c:numCache>
                <c:formatCode>"$"#,##0</c:formatCode>
                <c:ptCount val="1"/>
                <c:pt idx="0">
                  <c:v>17670</c:v>
                </c:pt>
              </c:numCache>
            </c:numRef>
          </c:val>
          <c:extLst>
            <c:ext xmlns:c16="http://schemas.microsoft.com/office/drawing/2014/chart" uri="{C3380CC4-5D6E-409C-BE32-E72D297353CC}">
              <c16:uniqueId val="{00000011-5386-47ED-AE9C-E9D6C1BA68E6}"/>
            </c:ext>
          </c:extLst>
        </c:ser>
        <c:ser>
          <c:idx val="6"/>
          <c:order val="6"/>
          <c:tx>
            <c:strRef>
              <c:f>'Net Sales by Region &amp; Channel'!$H$3:$H$5</c:f>
              <c:strCache>
                <c:ptCount val="1"/>
                <c:pt idx="0">
                  <c:v>West - Online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Channel'!$H$6</c:f>
              <c:numCache>
                <c:formatCode>"$"#,##0</c:formatCode>
                <c:ptCount val="1"/>
                <c:pt idx="0">
                  <c:v>34532</c:v>
                </c:pt>
              </c:numCache>
            </c:numRef>
          </c:val>
          <c:extLst>
            <c:ext xmlns:c16="http://schemas.microsoft.com/office/drawing/2014/chart" uri="{C3380CC4-5D6E-409C-BE32-E72D297353CC}">
              <c16:uniqueId val="{00000012-5386-47ED-AE9C-E9D6C1BA68E6}"/>
            </c:ext>
          </c:extLst>
        </c:ser>
        <c:ser>
          <c:idx val="7"/>
          <c:order val="7"/>
          <c:tx>
            <c:strRef>
              <c:f>'Net Sales by Region &amp; Channel'!$I$3:$I$5</c:f>
              <c:strCache>
                <c:ptCount val="1"/>
                <c:pt idx="0">
                  <c:v>West - Retail</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Sales by Region &amp; Channel'!$A$6</c:f>
              <c:strCache>
                <c:ptCount val="1"/>
                <c:pt idx="0">
                  <c:v>Total</c:v>
                </c:pt>
              </c:strCache>
            </c:strRef>
          </c:cat>
          <c:val>
            <c:numRef>
              <c:f>'Net Sales by Region &amp; Channel'!$I$6</c:f>
              <c:numCache>
                <c:formatCode>"$"#,##0</c:formatCode>
                <c:ptCount val="1"/>
                <c:pt idx="0">
                  <c:v>6804.8</c:v>
                </c:pt>
              </c:numCache>
            </c:numRef>
          </c:val>
          <c:extLst>
            <c:ext xmlns:c16="http://schemas.microsoft.com/office/drawing/2014/chart" uri="{C3380CC4-5D6E-409C-BE32-E72D297353CC}">
              <c16:uniqueId val="{00000013-5386-47ED-AE9C-E9D6C1BA68E6}"/>
            </c:ext>
          </c:extLst>
        </c:ser>
        <c:dLbls>
          <c:dLblPos val="outEnd"/>
          <c:showLegendKey val="0"/>
          <c:showVal val="1"/>
          <c:showCatName val="0"/>
          <c:showSerName val="0"/>
          <c:showPercent val="0"/>
          <c:showBubbleSize val="0"/>
        </c:dLbls>
        <c:gapWidth val="100"/>
        <c:overlap val="-24"/>
        <c:axId val="1740784896"/>
        <c:axId val="1740785728"/>
      </c:barChart>
      <c:catAx>
        <c:axId val="1740784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785728"/>
        <c:crosses val="autoZero"/>
        <c:auto val="1"/>
        <c:lblAlgn val="ctr"/>
        <c:lblOffset val="100"/>
        <c:noMultiLvlLbl val="0"/>
      </c:catAx>
      <c:valAx>
        <c:axId val="1740785728"/>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78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[Assignmet 7.xlsx]Profit Analysis by Category!PivotTable2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2.5445292620865048E-2"/>
              <c:y val="-0.148148148148148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2.3324582121563345E-17"/>
              <c:y val="0.1851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'Profit Analysis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CD-4D69-AAEE-49847E4337F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CD-4D69-AAEE-49847E4337FF}"/>
              </c:ext>
            </c:extLst>
          </c:dPt>
          <c:dLbls>
            <c:dLbl>
              <c:idx val="0"/>
              <c:layout>
                <c:manualLayout>
                  <c:x val="2.5445292620865048E-2"/>
                  <c:y val="-0.148148148148148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CCD-4D69-AAEE-49847E4337FF}"/>
                </c:ext>
              </c:extLst>
            </c:dLbl>
            <c:dLbl>
              <c:idx val="1"/>
              <c:layout>
                <c:manualLayout>
                  <c:x val="-2.3324582121563345E-17"/>
                  <c:y val="0.185185185185185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CCD-4D69-AAEE-49847E4337F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Analysis by Category'!$A$4:$A$6</c:f>
              <c:strCache>
                <c:ptCount val="2"/>
                <c:pt idx="0">
                  <c:v>Accessories</c:v>
                </c:pt>
                <c:pt idx="1">
                  <c:v>Electronics</c:v>
                </c:pt>
              </c:strCache>
            </c:strRef>
          </c:cat>
          <c:val>
            <c:numRef>
              <c:f>'Profit Analysis by Category'!$B$4:$B$6</c:f>
              <c:numCache>
                <c:formatCode>0.00%</c:formatCode>
                <c:ptCount val="2"/>
                <c:pt idx="0">
                  <c:v>0.1422941352736207</c:v>
                </c:pt>
                <c:pt idx="1">
                  <c:v>0.85770586472637922</c:v>
                </c:pt>
              </c:numCache>
            </c:numRef>
          </c:val>
          <c:extLst>
            <c:ext xmlns:c16="http://schemas.microsoft.com/office/drawing/2014/chart" uri="{C3380CC4-5D6E-409C-BE32-E72D297353CC}">
              <c16:uniqueId val="{00000004-0CCD-4D69-AAEE-49847E4337F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[Assignmet 7.xlsx]Time Analysis!PivotTable4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Net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a:outerShdw dist="25400" dir="2700000" algn="tl" rotWithShape="0">
              <a:schemeClr val="accent6"/>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a:noFill/>
          </a:ln>
          <a:effectLst>
            <a:outerShdw dist="25400" dir="2700000" algn="tl" rotWithShape="0">
              <a:schemeClr val="accent6"/>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Analysis'!$B$3</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'Time Analysis'!$A$4:$A$16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'Time Analysis'!$B$4:$B$16</c:f>
              <c:numCache>
                <c:formatCode>"$"#,##0</c:formatCode>
                <c:ptCount val="12"/>
                <c:pt idx="0">
                  <c:v>19530</c:v>
                </c:pt>
                <c:pt idx="1">
                  <c:v>12328</c:v>
                </c:pt>
                <c:pt idx="2">
                  <c:v>35100</c:v>
                </c:pt>
                <c:pt idx="3">
                  <c:v>3120</c:v>
                </c:pt>
                <c:pt idx="4">
                  <c:v>35150</c:v>
                </c:pt>
                <c:pt idx="5">
                  <c:v>3600</c:v>
                </c:pt>
                <c:pt idx="6">
                  <c:v>34532</c:v>
                </c:pt>
                <c:pt idx="7">
                  <c:v>2592</c:v>
                </c:pt>
                <c:pt idx="8">
                  <c:v>17670</c:v>
                </c:pt>
                <c:pt idx="9">
                  <c:v>3684.8</c:v>
                </c:pt>
                <c:pt idx="10">
                  <c:v>17860</c:v>
                </c:pt>
                <c:pt idx="11">
                  <c:v>3325</c:v>
                </c:pt>
              </c:numCache>
            </c:numRef>
          </c:val>
          <c:smooth val="0"/>
          <c:extLst>
            <c:ext xmlns:c16="http://schemas.microsoft.com/office/drawing/2014/chart" uri="{C3380CC4-5D6E-409C-BE32-E72D297353CC}">
              <c16:uniqueId val="{00000000-9964-4018-83CB-D46C98F57A6A}"/>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2">
                    <a:lumMod val="60000"/>
                    <a:lumOff val="40000"/>
                  </a:schemeClr>
                </a:solidFill>
              </a:ln>
              <a:effectLst/>
            </c:spPr>
          </c:upBars>
          <c:downBars>
            <c:spPr>
              <a:solidFill>
                <a:schemeClr val="dk1">
                  <a:lumMod val="35000"/>
                  <a:lumOff val="65000"/>
                </a:schemeClr>
              </a:solidFill>
              <a:ln w="9525">
                <a:solidFill>
                  <a:schemeClr val="accent2">
                    <a:lumMod val="60000"/>
                    <a:lumOff val="40000"/>
                  </a:schemeClr>
                </a:solidFill>
              </a:ln>
              <a:effectLst/>
            </c:spPr>
          </c:downBars>
        </c:upDownBars>
        <c:marker val="1"/>
        <c:smooth val="0"/>
        <c:axId val="1742463920"/>
        <c:axId val="1742461424"/>
      </c:lineChart>
      <c:catAx>
        <c:axId val="1742463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42461424"/>
        <c:crosses val="autoZero"/>
        <c:auto val="1"/>
        <c:lblAlgn val="ctr"/>
        <c:lblOffset val="100"/>
        <c:noMultiLvlLbl val="0"/>
      </c:catAx>
      <c:valAx>
        <c:axId val="174246142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4246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[Assignmet 7.xlsx]Sales Band Distribution!PivotTable5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Band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Band Distribution'!$B$3</c:f>
              <c:strCache>
                <c:ptCount val="1"/>
                <c:pt idx="0">
                  <c:v>Count of OrderID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Band Distribution'!$A$4:$A$7</c:f>
              <c:strCache>
                <c:ptCount val="3"/>
                <c:pt idx="0">
                  <c:v>High</c:v>
                </c:pt>
                <c:pt idx="1">
                  <c:v>Low</c:v>
                </c:pt>
                <c:pt idx="2">
                  <c:v>Medium</c:v>
                </c:pt>
              </c:strCache>
            </c:strRef>
          </c:cat>
          <c:val>
            <c:numRef>
              <c:f>'Sales Band Distribution'!$B$4:$B$7</c:f>
              <c:numCache>
                <c:formatCode>General</c:formatCode>
                <c:ptCount val="3"/>
                <c:pt idx="0">
                  <c:v>3</c:v>
                </c:pt>
                <c:pt idx="1">
                  <c:v>5</c:v>
                </c:pt>
                <c:pt idx="2">
                  <c:v>4</c:v>
                </c:pt>
              </c:numCache>
            </c:numRef>
          </c:val>
          <c:extLst>
            <c:ext xmlns:c16="http://schemas.microsoft.com/office/drawing/2014/chart" uri="{C3380CC4-5D6E-409C-BE32-E72D297353CC}">
              <c16:uniqueId val="{00000000-1D20-4882-931E-0F6F6DD3EDB2}"/>
            </c:ext>
          </c:extLst>
        </c:ser>
        <c:ser>
          <c:idx val="1"/>
          <c:order val="1"/>
          <c:tx>
            <c:strRef>
              <c:f>'Sales Band Distribution'!$C$3</c:f>
              <c:strCache>
                <c:ptCount val="1"/>
                <c:pt idx="0">
                  <c:v>Sum of Net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Band Distribution'!$A$4:$A$7</c:f>
              <c:strCache>
                <c:ptCount val="3"/>
                <c:pt idx="0">
                  <c:v>High</c:v>
                </c:pt>
                <c:pt idx="1">
                  <c:v>Low</c:v>
                </c:pt>
                <c:pt idx="2">
                  <c:v>Medium</c:v>
                </c:pt>
              </c:strCache>
            </c:strRef>
          </c:cat>
          <c:val>
            <c:numRef>
              <c:f>'Sales Band Distribution'!$C$4:$C$7</c:f>
              <c:numCache>
                <c:formatCode>General</c:formatCode>
                <c:ptCount val="3"/>
                <c:pt idx="0">
                  <c:v>104782</c:v>
                </c:pt>
                <c:pt idx="1">
                  <c:v>16321.8</c:v>
                </c:pt>
                <c:pt idx="2">
                  <c:v>67388</c:v>
                </c:pt>
              </c:numCache>
            </c:numRef>
          </c:val>
          <c:extLst>
            <c:ext xmlns:c16="http://schemas.microsoft.com/office/drawing/2014/chart" uri="{C3380CC4-5D6E-409C-BE32-E72D297353CC}">
              <c16:uniqueId val="{00000001-1D20-4882-931E-0F6F6DD3EDB2}"/>
            </c:ext>
          </c:extLst>
        </c:ser>
        <c:dLbls>
          <c:dLblPos val="outEnd"/>
          <c:showLegendKey val="0"/>
          <c:showVal val="1"/>
          <c:showCatName val="0"/>
          <c:showSerName val="0"/>
          <c:showPercent val="0"/>
          <c:showBubbleSize val="0"/>
        </c:dLbls>
        <c:gapWidth val="100"/>
        <c:overlap val="-24"/>
        <c:axId val="1884564928"/>
        <c:axId val="1884563680"/>
      </c:barChart>
      <c:catAx>
        <c:axId val="1884564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4563680"/>
        <c:crosses val="autoZero"/>
        <c:auto val="1"/>
        <c:lblAlgn val="ctr"/>
        <c:lblOffset val="100"/>
        <c:noMultiLvlLbl val="0"/>
      </c:catAx>
      <c:valAx>
        <c:axId val="1884563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456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[Assignmet 7.xlsx]  Salesperson Performance!PivotTable3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Salesperson Net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Salesperson Performance'!$B$4</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Salesperson Performance'!$A$5:$A$10</c:f>
              <c:strCache>
                <c:ptCount val="5"/>
                <c:pt idx="0">
                  <c:v>Ahmed</c:v>
                </c:pt>
                <c:pt idx="1">
                  <c:v>Lina</c:v>
                </c:pt>
                <c:pt idx="2">
                  <c:v>Mona</c:v>
                </c:pt>
                <c:pt idx="3">
                  <c:v>Omar</c:v>
                </c:pt>
                <c:pt idx="4">
                  <c:v>Sara</c:v>
                </c:pt>
              </c:strCache>
            </c:strRef>
          </c:cat>
          <c:val>
            <c:numRef>
              <c:f>'  Salesperson Performance'!$B$5:$B$10</c:f>
              <c:numCache>
                <c:formatCode>"$"#,##0</c:formatCode>
                <c:ptCount val="5"/>
                <c:pt idx="0">
                  <c:v>38750</c:v>
                </c:pt>
                <c:pt idx="1">
                  <c:v>56095</c:v>
                </c:pt>
                <c:pt idx="2">
                  <c:v>20452</c:v>
                </c:pt>
                <c:pt idx="3">
                  <c:v>31858</c:v>
                </c:pt>
                <c:pt idx="4">
                  <c:v>41336.800000000003</c:v>
                </c:pt>
              </c:numCache>
            </c:numRef>
          </c:val>
          <c:extLst>
            <c:ext xmlns:c16="http://schemas.microsoft.com/office/drawing/2014/chart" uri="{C3380CC4-5D6E-409C-BE32-E72D297353CC}">
              <c16:uniqueId val="{00000000-D75D-4182-91BA-ACBE41F032C8}"/>
            </c:ext>
          </c:extLst>
        </c:ser>
        <c:ser>
          <c:idx val="1"/>
          <c:order val="1"/>
          <c:tx>
            <c:strRef>
              <c:f>'  Salesperson Performance'!$C$4</c:f>
              <c:strCache>
                <c:ptCount val="1"/>
                <c:pt idx="0">
                  <c:v>Sum of Profit (Assume fixed 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Salesperson Performance'!$A$5:$A$10</c:f>
              <c:strCache>
                <c:ptCount val="5"/>
                <c:pt idx="0">
                  <c:v>Ahmed</c:v>
                </c:pt>
                <c:pt idx="1">
                  <c:v>Lina</c:v>
                </c:pt>
                <c:pt idx="2">
                  <c:v>Mona</c:v>
                </c:pt>
                <c:pt idx="3">
                  <c:v>Omar</c:v>
                </c:pt>
                <c:pt idx="4">
                  <c:v>Sara</c:v>
                </c:pt>
              </c:strCache>
            </c:strRef>
          </c:cat>
          <c:val>
            <c:numRef>
              <c:f>'  Salesperson Performance'!$C$5:$C$10</c:f>
              <c:numCache>
                <c:formatCode>"$"#,##0</c:formatCode>
                <c:ptCount val="5"/>
                <c:pt idx="0">
                  <c:v>8290</c:v>
                </c:pt>
                <c:pt idx="1">
                  <c:v>11717.75</c:v>
                </c:pt>
                <c:pt idx="2">
                  <c:v>4479.2</c:v>
                </c:pt>
                <c:pt idx="3">
                  <c:v>6371.6</c:v>
                </c:pt>
                <c:pt idx="4">
                  <c:v>9288.08</c:v>
                </c:pt>
              </c:numCache>
            </c:numRef>
          </c:val>
          <c:extLst>
            <c:ext xmlns:c16="http://schemas.microsoft.com/office/drawing/2014/chart" uri="{C3380CC4-5D6E-409C-BE32-E72D297353CC}">
              <c16:uniqueId val="{00000001-D75D-4182-91BA-ACBE41F032C8}"/>
            </c:ext>
          </c:extLst>
        </c:ser>
        <c:dLbls>
          <c:dLblPos val="outEnd"/>
          <c:showLegendKey val="0"/>
          <c:showVal val="1"/>
          <c:showCatName val="0"/>
          <c:showSerName val="0"/>
          <c:showPercent val="0"/>
          <c:showBubbleSize val="0"/>
        </c:dLbls>
        <c:gapWidth val="115"/>
        <c:overlap val="-20"/>
        <c:axId val="1739636304"/>
        <c:axId val="1739631312"/>
      </c:barChart>
      <c:catAx>
        <c:axId val="1739636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631312"/>
        <c:crosses val="autoZero"/>
        <c:auto val="1"/>
        <c:lblAlgn val="ctr"/>
        <c:lblOffset val="100"/>
        <c:noMultiLvlLbl val="0"/>
      </c:catAx>
      <c:valAx>
        <c:axId val="1739631312"/>
        <c:scaling>
          <c:orientation val="minMax"/>
        </c:scaling>
        <c:delete val="0"/>
        <c:axPos val="b"/>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63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495300</xdr:colOff>
      <xdr:row>12</xdr:row>
      <xdr:rowOff>88900</xdr:rowOff>
    </xdr:from>
    <xdr:to>
      <xdr:col>12</xdr:col>
      <xdr:colOff>6350</xdr:colOff>
      <xdr:row>27</xdr:row>
      <xdr:rowOff>69850</xdr:rowOff>
    </xdr:to>
    <xdr:graphicFrame macro="">
      <xdr:nvGraphicFramePr>
        <xdr:cNvPr id="2" name="Chart 1">
          <a:extLst>
            <a:ext uri="{FF2B5EF4-FFF2-40B4-BE49-F238E27FC236}">
              <a16:creationId xmlns:a16="http://schemas.microsoft.com/office/drawing/2014/main" id="{2C1EF462-5D27-4101-9843-3FFB65152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1003300</xdr:colOff>
      <xdr:row>6</xdr:row>
      <xdr:rowOff>171450</xdr:rowOff>
    </xdr:from>
    <xdr:to>
      <xdr:col>4</xdr:col>
      <xdr:colOff>552450</xdr:colOff>
      <xdr:row>20</xdr:row>
      <xdr:rowOff>117475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48FBB3F-97E3-427A-9A43-9C39B45E7E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38350" y="1276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57150</xdr:rowOff>
    </xdr:from>
    <xdr:to>
      <xdr:col>1</xdr:col>
      <xdr:colOff>793750</xdr:colOff>
      <xdr:row>21</xdr:row>
      <xdr:rowOff>3175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018B7DA9-C29F-4A4F-B459-B722EECCA1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34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63500</xdr:rowOff>
    </xdr:from>
    <xdr:to>
      <xdr:col>1</xdr:col>
      <xdr:colOff>793750</xdr:colOff>
      <xdr:row>29</xdr:row>
      <xdr:rowOff>9525</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3770324E-0135-4FA6-B772-751FF7CB298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0" y="2825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76200</xdr:rowOff>
    </xdr:from>
    <xdr:to>
      <xdr:col>1</xdr:col>
      <xdr:colOff>793750</xdr:colOff>
      <xdr:row>35</xdr:row>
      <xdr:rowOff>22225</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7CA58BF4-2A07-433A-BE35-84254829883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0" y="394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438150</xdr:colOff>
      <xdr:row>15</xdr:row>
      <xdr:rowOff>63500</xdr:rowOff>
    </xdr:from>
    <xdr:to>
      <xdr:col>17</xdr:col>
      <xdr:colOff>438150</xdr:colOff>
      <xdr:row>29</xdr:row>
      <xdr:rowOff>9525</xdr:rowOff>
    </xdr:to>
    <mc:AlternateContent xmlns:mc="http://schemas.openxmlformats.org/markup-compatibility/2006" xmlns:a14="http://schemas.microsoft.com/office/drawing/2010/main">
      <mc:Choice Requires="a14">
        <xdr:graphicFrame macro="">
          <xdr:nvGraphicFramePr>
            <xdr:cNvPr id="7" name="Net Sales">
              <a:extLst>
                <a:ext uri="{FF2B5EF4-FFF2-40B4-BE49-F238E27FC236}">
                  <a16:creationId xmlns:a16="http://schemas.microsoft.com/office/drawing/2014/main" id="{C56E32F0-2BDE-4CA1-A0F2-C083C38B9355}"/>
                </a:ext>
              </a:extLst>
            </xdr:cNvPr>
            <xdr:cNvGraphicFramePr/>
          </xdr:nvGraphicFramePr>
          <xdr:xfrm>
            <a:off x="0" y="0"/>
            <a:ext cx="0" cy="0"/>
          </xdr:xfrm>
          <a:graphic>
            <a:graphicData uri="http://schemas.microsoft.com/office/drawing/2010/slicer">
              <sle:slicer xmlns:sle="http://schemas.microsoft.com/office/drawing/2010/slicer" name="Net Sales"/>
            </a:graphicData>
          </a:graphic>
        </xdr:graphicFrame>
      </mc:Choice>
      <mc:Fallback xmlns="">
        <xdr:sp macro="" textlink="">
          <xdr:nvSpPr>
            <xdr:cNvPr id="0" name=""/>
            <xdr:cNvSpPr>
              <a:spLocks noTextEdit="1"/>
            </xdr:cNvSpPr>
          </xdr:nvSpPr>
          <xdr:spPr>
            <a:xfrm>
              <a:off x="9556750" y="2825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533400</xdr:colOff>
      <xdr:row>1</xdr:row>
      <xdr:rowOff>107950</xdr:rowOff>
    </xdr:from>
    <xdr:to>
      <xdr:col>17</xdr:col>
      <xdr:colOff>533400</xdr:colOff>
      <xdr:row>15</xdr:row>
      <xdr:rowOff>53975</xdr:rowOff>
    </xdr:to>
    <mc:AlternateContent xmlns:mc="http://schemas.openxmlformats.org/markup-compatibility/2006" xmlns:a14="http://schemas.microsoft.com/office/drawing/2010/main">
      <mc:Choice Requires="a14">
        <xdr:graphicFrame macro="">
          <xdr:nvGraphicFramePr>
            <xdr:cNvPr id="8" name="Profit (Assume fixed margin)">
              <a:extLst>
                <a:ext uri="{FF2B5EF4-FFF2-40B4-BE49-F238E27FC236}">
                  <a16:creationId xmlns:a16="http://schemas.microsoft.com/office/drawing/2014/main" id="{9BB2491C-5D6F-42A0-AE0B-BCC3FD2F9DD5}"/>
                </a:ext>
              </a:extLst>
            </xdr:cNvPr>
            <xdr:cNvGraphicFramePr/>
          </xdr:nvGraphicFramePr>
          <xdr:xfrm>
            <a:off x="0" y="0"/>
            <a:ext cx="0" cy="0"/>
          </xdr:xfrm>
          <a:graphic>
            <a:graphicData uri="http://schemas.microsoft.com/office/drawing/2010/slicer">
              <sle:slicer xmlns:sle="http://schemas.microsoft.com/office/drawing/2010/slicer" name="Profit (Assume fixed margin)"/>
            </a:graphicData>
          </a:graphic>
        </xdr:graphicFrame>
      </mc:Choice>
      <mc:Fallback xmlns="">
        <xdr:sp macro="" textlink="">
          <xdr:nvSpPr>
            <xdr:cNvPr id="0" name=""/>
            <xdr:cNvSpPr>
              <a:spLocks noTextEdit="1"/>
            </xdr:cNvSpPr>
          </xdr:nvSpPr>
          <xdr:spPr>
            <a:xfrm>
              <a:off x="9652000" y="292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88900</xdr:colOff>
      <xdr:row>7</xdr:row>
      <xdr:rowOff>38100</xdr:rowOff>
    </xdr:from>
    <xdr:to>
      <xdr:col>18</xdr:col>
      <xdr:colOff>88900</xdr:colOff>
      <xdr:row>20</xdr:row>
      <xdr:rowOff>168275</xdr:rowOff>
    </xdr:to>
    <mc:AlternateContent xmlns:mc="http://schemas.openxmlformats.org/markup-compatibility/2006" xmlns:a14="http://schemas.microsoft.com/office/drawing/2010/main">
      <mc:Choice Requires="a14">
        <xdr:graphicFrame macro="">
          <xdr:nvGraphicFramePr>
            <xdr:cNvPr id="9" name="Order Month">
              <a:extLst>
                <a:ext uri="{FF2B5EF4-FFF2-40B4-BE49-F238E27FC236}">
                  <a16:creationId xmlns:a16="http://schemas.microsoft.com/office/drawing/2014/main" id="{0DAA3473-86C5-4AD7-B534-E45E903759A2}"/>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9817100" y="132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1797050</xdr:colOff>
      <xdr:row>8</xdr:row>
      <xdr:rowOff>57150</xdr:rowOff>
    </xdr:from>
    <xdr:to>
      <xdr:col>6</xdr:col>
      <xdr:colOff>457200</xdr:colOff>
      <xdr:row>23</xdr:row>
      <xdr:rowOff>38100</xdr:rowOff>
    </xdr:to>
    <xdr:graphicFrame macro="">
      <xdr:nvGraphicFramePr>
        <xdr:cNvPr id="2" name="Chart 1">
          <a:extLst>
            <a:ext uri="{FF2B5EF4-FFF2-40B4-BE49-F238E27FC236}">
              <a16:creationId xmlns:a16="http://schemas.microsoft.com/office/drawing/2014/main" id="{4E1BC5BC-38E9-4DA9-812B-6D947AEB2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628650</xdr:colOff>
      <xdr:row>10</xdr:row>
      <xdr:rowOff>88900</xdr:rowOff>
    </xdr:from>
    <xdr:to>
      <xdr:col>7</xdr:col>
      <xdr:colOff>571500</xdr:colOff>
      <xdr:row>25</xdr:row>
      <xdr:rowOff>69850</xdr:rowOff>
    </xdr:to>
    <xdr:graphicFrame macro="">
      <xdr:nvGraphicFramePr>
        <xdr:cNvPr id="2" name="Chart 1">
          <a:extLst>
            <a:ext uri="{FF2B5EF4-FFF2-40B4-BE49-F238E27FC236}">
              <a16:creationId xmlns:a16="http://schemas.microsoft.com/office/drawing/2014/main" id="{1C6A6A42-A9F7-4300-B9F2-A8B856029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542925</xdr:colOff>
      <xdr:row>1</xdr:row>
      <xdr:rowOff>171450</xdr:rowOff>
    </xdr:from>
    <xdr:to>
      <xdr:col>10</xdr:col>
      <xdr:colOff>238125</xdr:colOff>
      <xdr:row>16</xdr:row>
      <xdr:rowOff>152400</xdr:rowOff>
    </xdr:to>
    <xdr:graphicFrame macro="">
      <xdr:nvGraphicFramePr>
        <xdr:cNvPr id="2" name="Chart 1">
          <a:extLst>
            <a:ext uri="{FF2B5EF4-FFF2-40B4-BE49-F238E27FC236}">
              <a16:creationId xmlns:a16="http://schemas.microsoft.com/office/drawing/2014/main" id="{444C2E78-0A82-4B20-985E-F25E855AA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136525</xdr:colOff>
      <xdr:row>2</xdr:row>
      <xdr:rowOff>6350</xdr:rowOff>
    </xdr:from>
    <xdr:to>
      <xdr:col>10</xdr:col>
      <xdr:colOff>441325</xdr:colOff>
      <xdr:row>16</xdr:row>
      <xdr:rowOff>171450</xdr:rowOff>
    </xdr:to>
    <xdr:graphicFrame macro="">
      <xdr:nvGraphicFramePr>
        <xdr:cNvPr id="4" name="Chart 3">
          <a:extLst>
            <a:ext uri="{FF2B5EF4-FFF2-40B4-BE49-F238E27FC236}">
              <a16:creationId xmlns:a16="http://schemas.microsoft.com/office/drawing/2014/main" id="{50E96795-B16F-4E4A-962E-6C0E78AB4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12700</xdr:colOff>
      <xdr:row>0</xdr:row>
      <xdr:rowOff>12700</xdr:rowOff>
    </xdr:from>
    <xdr:to>
      <xdr:col>16</xdr:col>
      <xdr:colOff>292100</xdr:colOff>
      <xdr:row>4</xdr:row>
      <xdr:rowOff>31750</xdr:rowOff>
    </xdr:to>
    <xdr:sp macro="" textlink="">
      <xdr:nvSpPr>
        <xdr:cNvPr id="2" name="Rectangle: Rounded Corners 1">
          <a:extLst>
            <a:ext uri="{FF2B5EF4-FFF2-40B4-BE49-F238E27FC236}">
              <a16:creationId xmlns:a16="http://schemas.microsoft.com/office/drawing/2014/main" id="{AB975BFF-FA3B-42AE-B5FC-4D9B1762CF32}"/>
            </a:ext>
          </a:extLst>
        </xdr:cNvPr>
        <xdr:cNvSpPr/>
      </xdr:nvSpPr>
      <xdr:spPr>
        <a:xfrm>
          <a:off x="1930400" y="12700"/>
          <a:ext cx="9423400" cy="755650"/>
        </a:xfrm>
        <a:prstGeom prst="roundRect">
          <a:avLst/>
        </a:prstGeom>
        <a:solidFill>
          <a:schemeClr val="accent2"/>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222250</xdr:colOff>
      <xdr:row>0</xdr:row>
      <xdr:rowOff>76200</xdr:rowOff>
    </xdr:from>
    <xdr:to>
      <xdr:col>17</xdr:col>
      <xdr:colOff>177800</xdr:colOff>
      <xdr:row>3</xdr:row>
      <xdr:rowOff>0</xdr:rowOff>
    </xdr:to>
    <xdr:sp macro="" textlink="">
      <xdr:nvSpPr>
        <xdr:cNvPr id="3" name="TextBox 2">
          <a:extLst>
            <a:ext uri="{FF2B5EF4-FFF2-40B4-BE49-F238E27FC236}">
              <a16:creationId xmlns:a16="http://schemas.microsoft.com/office/drawing/2014/main" id="{3CD30E8E-575D-4244-A779-98BFB8903DDF}"/>
            </a:ext>
          </a:extLst>
        </xdr:cNvPr>
        <xdr:cNvSpPr txBox="1"/>
      </xdr:nvSpPr>
      <xdr:spPr>
        <a:xfrm>
          <a:off x="3968750" y="76200"/>
          <a:ext cx="78803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effectLst/>
              <a:latin typeface="+mn-lt"/>
              <a:ea typeface="+mn-ea"/>
              <a:cs typeface="+mn-cs"/>
            </a:rPr>
            <a:t>Sales Performance Dashboard</a:t>
          </a:r>
          <a:endParaRPr lang="en-US" sz="2800">
            <a:solidFill>
              <a:schemeClr val="bg1"/>
            </a:solidFill>
          </a:endParaRPr>
        </a:p>
      </xdr:txBody>
    </xdr:sp>
    <xdr:clientData/>
  </xdr:twoCellAnchor>
  <xdr:twoCellAnchor>
    <xdr:from>
      <xdr:col>1</xdr:col>
      <xdr:colOff>292100</xdr:colOff>
      <xdr:row>4</xdr:row>
      <xdr:rowOff>177800</xdr:rowOff>
    </xdr:from>
    <xdr:to>
      <xdr:col>5</xdr:col>
      <xdr:colOff>184150</xdr:colOff>
      <xdr:row>9</xdr:row>
      <xdr:rowOff>63500</xdr:rowOff>
    </xdr:to>
    <xdr:sp macro="" textlink="">
      <xdr:nvSpPr>
        <xdr:cNvPr id="4" name="Rectangle: Rounded Corners 3">
          <a:extLst>
            <a:ext uri="{FF2B5EF4-FFF2-40B4-BE49-F238E27FC236}">
              <a16:creationId xmlns:a16="http://schemas.microsoft.com/office/drawing/2014/main" id="{2F9434CE-12EE-4872-BC0C-F85F70F17A1C}"/>
            </a:ext>
          </a:extLst>
        </xdr:cNvPr>
        <xdr:cNvSpPr/>
      </xdr:nvSpPr>
      <xdr:spPr>
        <a:xfrm>
          <a:off x="2209800" y="914400"/>
          <a:ext cx="2330450" cy="806450"/>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584200</xdr:colOff>
      <xdr:row>5</xdr:row>
      <xdr:rowOff>69850</xdr:rowOff>
    </xdr:from>
    <xdr:to>
      <xdr:col>5</xdr:col>
      <xdr:colOff>158750</xdr:colOff>
      <xdr:row>7</xdr:row>
      <xdr:rowOff>101600</xdr:rowOff>
    </xdr:to>
    <xdr:sp macro="" textlink="">
      <xdr:nvSpPr>
        <xdr:cNvPr id="6" name="TextBox 5">
          <a:extLst>
            <a:ext uri="{FF2B5EF4-FFF2-40B4-BE49-F238E27FC236}">
              <a16:creationId xmlns:a16="http://schemas.microsoft.com/office/drawing/2014/main" id="{E149B400-049D-4803-A4E6-726F14FE4738}"/>
            </a:ext>
          </a:extLst>
        </xdr:cNvPr>
        <xdr:cNvSpPr txBox="1"/>
      </xdr:nvSpPr>
      <xdr:spPr>
        <a:xfrm>
          <a:off x="2501900" y="990600"/>
          <a:ext cx="20129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Sum of Net Sales</a:t>
          </a:r>
        </a:p>
      </xdr:txBody>
    </xdr:sp>
    <xdr:clientData/>
  </xdr:twoCellAnchor>
  <xdr:twoCellAnchor editAs="oneCell">
    <xdr:from>
      <xdr:col>0</xdr:col>
      <xdr:colOff>146050</xdr:colOff>
      <xdr:row>0</xdr:row>
      <xdr:rowOff>0</xdr:rowOff>
    </xdr:from>
    <xdr:to>
      <xdr:col>0</xdr:col>
      <xdr:colOff>1606550</xdr:colOff>
      <xdr:row>7</xdr:row>
      <xdr:rowOff>101600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6E873156-D884-449D-AA8E-ABFF8A31360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6050" y="0"/>
              <a:ext cx="14605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9</xdr:row>
      <xdr:rowOff>158750</xdr:rowOff>
    </xdr:from>
    <xdr:to>
      <xdr:col>8</xdr:col>
      <xdr:colOff>527050</xdr:colOff>
      <xdr:row>24</xdr:row>
      <xdr:rowOff>152401</xdr:rowOff>
    </xdr:to>
    <xdr:graphicFrame macro="">
      <xdr:nvGraphicFramePr>
        <xdr:cNvPr id="8" name="Chart 7">
          <a:extLst>
            <a:ext uri="{FF2B5EF4-FFF2-40B4-BE49-F238E27FC236}">
              <a16:creationId xmlns:a16="http://schemas.microsoft.com/office/drawing/2014/main" id="{475232FB-DC99-4A0E-9820-384E5135F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24</xdr:row>
      <xdr:rowOff>127000</xdr:rowOff>
    </xdr:from>
    <xdr:to>
      <xdr:col>10</xdr:col>
      <xdr:colOff>44450</xdr:colOff>
      <xdr:row>39</xdr:row>
      <xdr:rowOff>107950</xdr:rowOff>
    </xdr:to>
    <xdr:graphicFrame macro="">
      <xdr:nvGraphicFramePr>
        <xdr:cNvPr id="10" name="Chart 9">
          <a:extLst>
            <a:ext uri="{FF2B5EF4-FFF2-40B4-BE49-F238E27FC236}">
              <a16:creationId xmlns:a16="http://schemas.microsoft.com/office/drawing/2014/main" id="{7D09D591-9702-4371-BDCE-CA1FFFE36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533400</xdr:colOff>
      <xdr:row>9</xdr:row>
      <xdr:rowOff>165100</xdr:rowOff>
    </xdr:from>
    <xdr:to>
      <xdr:col>16</xdr:col>
      <xdr:colOff>292100</xdr:colOff>
      <xdr:row>24</xdr:row>
      <xdr:rowOff>127000</xdr:rowOff>
    </xdr:to>
    <xdr:graphicFrame macro="">
      <xdr:nvGraphicFramePr>
        <xdr:cNvPr id="12" name="Chart 11">
          <a:extLst>
            <a:ext uri="{FF2B5EF4-FFF2-40B4-BE49-F238E27FC236}">
              <a16:creationId xmlns:a16="http://schemas.microsoft.com/office/drawing/2014/main" id="{CFB4505F-8D0B-44E2-B711-671ADCF00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24</xdr:row>
      <xdr:rowOff>152400</xdr:rowOff>
    </xdr:from>
    <xdr:to>
      <xdr:col>5</xdr:col>
      <xdr:colOff>603250</xdr:colOff>
      <xdr:row>39</xdr:row>
      <xdr:rowOff>133350</xdr:rowOff>
    </xdr:to>
    <xdr:graphicFrame macro="">
      <xdr:nvGraphicFramePr>
        <xdr:cNvPr id="13" name="Chart 12">
          <a:extLst>
            <a:ext uri="{FF2B5EF4-FFF2-40B4-BE49-F238E27FC236}">
              <a16:creationId xmlns:a16="http://schemas.microsoft.com/office/drawing/2014/main" id="{85028A19-F61F-479E-9492-4558581A0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xdr:colOff>
      <xdr:row>24</xdr:row>
      <xdr:rowOff>127000</xdr:rowOff>
    </xdr:from>
    <xdr:to>
      <xdr:col>16</xdr:col>
      <xdr:colOff>298450</xdr:colOff>
      <xdr:row>39</xdr:row>
      <xdr:rowOff>107950</xdr:rowOff>
    </xdr:to>
    <xdr:graphicFrame macro="">
      <xdr:nvGraphicFramePr>
        <xdr:cNvPr id="14" name="Chart 13">
          <a:extLst>
            <a:ext uri="{FF2B5EF4-FFF2-40B4-BE49-F238E27FC236}">
              <a16:creationId xmlns:a16="http://schemas.microsoft.com/office/drawing/2014/main" id="{637C0175-157A-4DB3-8580-7A3C80C5A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xdr:colOff>
      <xdr:row>5</xdr:row>
      <xdr:rowOff>6350</xdr:rowOff>
    </xdr:from>
    <xdr:to>
      <xdr:col>10</xdr:col>
      <xdr:colOff>266700</xdr:colOff>
      <xdr:row>9</xdr:row>
      <xdr:rowOff>76200</xdr:rowOff>
    </xdr:to>
    <xdr:sp macro="" textlink="">
      <xdr:nvSpPr>
        <xdr:cNvPr id="15" name="Rectangle: Rounded Corners 14">
          <a:extLst>
            <a:ext uri="{FF2B5EF4-FFF2-40B4-BE49-F238E27FC236}">
              <a16:creationId xmlns:a16="http://schemas.microsoft.com/office/drawing/2014/main" id="{1F39C0AD-FFDC-4D73-ABAD-01977CF319AB}"/>
            </a:ext>
          </a:extLst>
        </xdr:cNvPr>
        <xdr:cNvSpPr/>
      </xdr:nvSpPr>
      <xdr:spPr>
        <a:xfrm>
          <a:off x="5003800" y="927100"/>
          <a:ext cx="2667000" cy="806450"/>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298450</xdr:colOff>
      <xdr:row>7</xdr:row>
      <xdr:rowOff>50800</xdr:rowOff>
    </xdr:from>
    <xdr:to>
      <xdr:col>4</xdr:col>
      <xdr:colOff>38100</xdr:colOff>
      <xdr:row>8</xdr:row>
      <xdr:rowOff>114300</xdr:rowOff>
    </xdr:to>
    <xdr:sp macro="" textlink="KPIs!A8">
      <xdr:nvSpPr>
        <xdr:cNvPr id="16" name="TextBox 15">
          <a:extLst>
            <a:ext uri="{FF2B5EF4-FFF2-40B4-BE49-F238E27FC236}">
              <a16:creationId xmlns:a16="http://schemas.microsoft.com/office/drawing/2014/main" id="{8B6F44CB-28CA-4DF9-8A65-F3B67B0DDE19}"/>
            </a:ext>
          </a:extLst>
        </xdr:cNvPr>
        <xdr:cNvSpPr txBox="1"/>
      </xdr:nvSpPr>
      <xdr:spPr>
        <a:xfrm>
          <a:off x="2825750" y="1339850"/>
          <a:ext cx="958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74AD1E-6129-4C93-B3F7-CB0E82125992}" type="TxLink">
            <a:rPr lang="en-US" sz="1100" b="0" i="0" u="none" strike="noStrike">
              <a:solidFill>
                <a:srgbClr val="000000"/>
              </a:solidFill>
              <a:latin typeface="Calibri"/>
              <a:cs typeface="Calibri"/>
            </a:rPr>
            <a:pPr/>
            <a:t>$188,491.80</a:t>
          </a:fld>
          <a:endParaRPr lang="en-US" sz="1100"/>
        </a:p>
      </xdr:txBody>
    </xdr:sp>
    <xdr:clientData/>
  </xdr:twoCellAnchor>
  <xdr:twoCellAnchor>
    <xdr:from>
      <xdr:col>11</xdr:col>
      <xdr:colOff>292100</xdr:colOff>
      <xdr:row>4</xdr:row>
      <xdr:rowOff>165100</xdr:rowOff>
    </xdr:from>
    <xdr:to>
      <xdr:col>15</xdr:col>
      <xdr:colOff>120650</xdr:colOff>
      <xdr:row>9</xdr:row>
      <xdr:rowOff>50800</xdr:rowOff>
    </xdr:to>
    <xdr:sp macro="" textlink="">
      <xdr:nvSpPr>
        <xdr:cNvPr id="17" name="Rectangle: Rounded Corners 16">
          <a:extLst>
            <a:ext uri="{FF2B5EF4-FFF2-40B4-BE49-F238E27FC236}">
              <a16:creationId xmlns:a16="http://schemas.microsoft.com/office/drawing/2014/main" id="{EA8C160C-0512-4251-B241-CF3BD1E8021D}"/>
            </a:ext>
          </a:extLst>
        </xdr:cNvPr>
        <xdr:cNvSpPr/>
      </xdr:nvSpPr>
      <xdr:spPr>
        <a:xfrm>
          <a:off x="8305800" y="901700"/>
          <a:ext cx="2266950" cy="806450"/>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152400</xdr:colOff>
      <xdr:row>7</xdr:row>
      <xdr:rowOff>88901</xdr:rowOff>
    </xdr:from>
    <xdr:to>
      <xdr:col>0</xdr:col>
      <xdr:colOff>1612900</xdr:colOff>
      <xdr:row>13</xdr:row>
      <xdr:rowOff>127001</xdr:rowOff>
    </xdr:to>
    <mc:AlternateContent xmlns:mc="http://schemas.openxmlformats.org/markup-compatibility/2006" xmlns:a14="http://schemas.microsoft.com/office/drawing/2010/main">
      <mc:Choice Requires="a14">
        <xdr:graphicFrame macro="">
          <xdr:nvGraphicFramePr>
            <xdr:cNvPr id="18" name="Channel 1">
              <a:extLst>
                <a:ext uri="{FF2B5EF4-FFF2-40B4-BE49-F238E27FC236}">
                  <a16:creationId xmlns:a16="http://schemas.microsoft.com/office/drawing/2014/main" id="{26FA372E-AE33-49B0-828D-7E5A8316C887}"/>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52400" y="1377951"/>
              <a:ext cx="14605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13</xdr:row>
      <xdr:rowOff>120651</xdr:rowOff>
    </xdr:from>
    <xdr:to>
      <xdr:col>0</xdr:col>
      <xdr:colOff>1606550</xdr:colOff>
      <xdr:row>18</xdr:row>
      <xdr:rowOff>76201</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09A268EB-F2A3-4B30-831A-E0A6DDA2E7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400" y="2514601"/>
              <a:ext cx="145415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18</xdr:row>
      <xdr:rowOff>82551</xdr:rowOff>
    </xdr:from>
    <xdr:to>
      <xdr:col>0</xdr:col>
      <xdr:colOff>1619250</xdr:colOff>
      <xdr:row>27</xdr:row>
      <xdr:rowOff>120651</xdr:rowOff>
    </xdr:to>
    <mc:AlternateContent xmlns:mc="http://schemas.openxmlformats.org/markup-compatibility/2006" xmlns:a14="http://schemas.microsoft.com/office/drawing/2010/main">
      <mc:Choice Requires="a14">
        <xdr:graphicFrame macro="">
          <xdr:nvGraphicFramePr>
            <xdr:cNvPr id="21" name="Salesperson 1">
              <a:extLst>
                <a:ext uri="{FF2B5EF4-FFF2-40B4-BE49-F238E27FC236}">
                  <a16:creationId xmlns:a16="http://schemas.microsoft.com/office/drawing/2014/main" id="{735AC42F-1EED-486C-A927-9AA61490A904}"/>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58750" y="3373006"/>
              <a:ext cx="1460500" cy="1683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95250</xdr:colOff>
      <xdr:row>5</xdr:row>
      <xdr:rowOff>76200</xdr:rowOff>
    </xdr:from>
    <xdr:to>
      <xdr:col>9</xdr:col>
      <xdr:colOff>495300</xdr:colOff>
      <xdr:row>7</xdr:row>
      <xdr:rowOff>0</xdr:rowOff>
    </xdr:to>
    <xdr:sp macro="" textlink="">
      <xdr:nvSpPr>
        <xdr:cNvPr id="5" name="TextBox 4">
          <a:extLst>
            <a:ext uri="{FF2B5EF4-FFF2-40B4-BE49-F238E27FC236}">
              <a16:creationId xmlns:a16="http://schemas.microsoft.com/office/drawing/2014/main" id="{76FFC91F-C478-4396-9E88-BA198B3CCBCA}"/>
            </a:ext>
          </a:extLst>
        </xdr:cNvPr>
        <xdr:cNvSpPr txBox="1"/>
      </xdr:nvSpPr>
      <xdr:spPr>
        <a:xfrm>
          <a:off x="5670550" y="996950"/>
          <a:ext cx="16192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Sum of Profit</a:t>
          </a:r>
          <a:r>
            <a:rPr lang="en-US" sz="1600" b="1"/>
            <a:t> </a:t>
          </a:r>
        </a:p>
      </xdr:txBody>
    </xdr:sp>
    <xdr:clientData/>
  </xdr:twoCellAnchor>
  <xdr:twoCellAnchor>
    <xdr:from>
      <xdr:col>7</xdr:col>
      <xdr:colOff>304800</xdr:colOff>
      <xdr:row>7</xdr:row>
      <xdr:rowOff>38100</xdr:rowOff>
    </xdr:from>
    <xdr:to>
      <xdr:col>9</xdr:col>
      <xdr:colOff>120650</xdr:colOff>
      <xdr:row>9</xdr:row>
      <xdr:rowOff>12700</xdr:rowOff>
    </xdr:to>
    <xdr:sp macro="" textlink="KPIs!B8">
      <xdr:nvSpPr>
        <xdr:cNvPr id="9" name="TextBox 8">
          <a:extLst>
            <a:ext uri="{FF2B5EF4-FFF2-40B4-BE49-F238E27FC236}">
              <a16:creationId xmlns:a16="http://schemas.microsoft.com/office/drawing/2014/main" id="{7CBE44FF-2C16-4C31-965A-C6603290B5EF}"/>
            </a:ext>
          </a:extLst>
        </xdr:cNvPr>
        <xdr:cNvSpPr txBox="1"/>
      </xdr:nvSpPr>
      <xdr:spPr>
        <a:xfrm>
          <a:off x="5880100" y="1327150"/>
          <a:ext cx="1035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4D724F-476F-43F5-891F-1A3E5F592051}" type="TxLink">
            <a:rPr lang="en-US" sz="1100" b="0" i="0" u="none" strike="noStrike">
              <a:solidFill>
                <a:srgbClr val="000000"/>
              </a:solidFill>
              <a:latin typeface="Calibri"/>
              <a:cs typeface="Calibri"/>
            </a:rPr>
            <a:pPr/>
            <a:t>$40,146.63</a:t>
          </a:fld>
          <a:endParaRPr lang="en-US" sz="1100"/>
        </a:p>
      </xdr:txBody>
    </xdr:sp>
    <xdr:clientData/>
  </xdr:twoCellAnchor>
  <xdr:twoCellAnchor>
    <xdr:from>
      <xdr:col>11</xdr:col>
      <xdr:colOff>425450</xdr:colOff>
      <xdr:row>5</xdr:row>
      <xdr:rowOff>57150</xdr:rowOff>
    </xdr:from>
    <xdr:to>
      <xdr:col>15</xdr:col>
      <xdr:colOff>44450</xdr:colOff>
      <xdr:row>6</xdr:row>
      <xdr:rowOff>139700</xdr:rowOff>
    </xdr:to>
    <xdr:sp macro="" textlink="">
      <xdr:nvSpPr>
        <xdr:cNvPr id="11" name="TextBox 10">
          <a:extLst>
            <a:ext uri="{FF2B5EF4-FFF2-40B4-BE49-F238E27FC236}">
              <a16:creationId xmlns:a16="http://schemas.microsoft.com/office/drawing/2014/main" id="{4F84BB4A-C037-44FE-B8F1-8E0574A5F3C4}"/>
            </a:ext>
          </a:extLst>
        </xdr:cNvPr>
        <xdr:cNvSpPr txBox="1"/>
      </xdr:nvSpPr>
      <xdr:spPr>
        <a:xfrm>
          <a:off x="8439150" y="977900"/>
          <a:ext cx="2057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Sum of OrderID</a:t>
          </a:r>
        </a:p>
      </xdr:txBody>
    </xdr:sp>
    <xdr:clientData/>
  </xdr:twoCellAnchor>
  <xdr:twoCellAnchor>
    <xdr:from>
      <xdr:col>12</xdr:col>
      <xdr:colOff>285750</xdr:colOff>
      <xdr:row>6</xdr:row>
      <xdr:rowOff>177800</xdr:rowOff>
    </xdr:from>
    <xdr:to>
      <xdr:col>14</xdr:col>
      <xdr:colOff>152400</xdr:colOff>
      <xdr:row>8</xdr:row>
      <xdr:rowOff>139700</xdr:rowOff>
    </xdr:to>
    <xdr:sp macro="" textlink="KPIs!C8">
      <xdr:nvSpPr>
        <xdr:cNvPr id="22" name="TextBox 21">
          <a:extLst>
            <a:ext uri="{FF2B5EF4-FFF2-40B4-BE49-F238E27FC236}">
              <a16:creationId xmlns:a16="http://schemas.microsoft.com/office/drawing/2014/main" id="{9ECF3E93-211B-4682-A5C8-2BE07C75ABF6}"/>
            </a:ext>
          </a:extLst>
        </xdr:cNvPr>
        <xdr:cNvSpPr txBox="1"/>
      </xdr:nvSpPr>
      <xdr:spPr>
        <a:xfrm>
          <a:off x="8909050" y="1282700"/>
          <a:ext cx="10858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F2FDEC-2481-451B-8686-84AA6D1C05CF}" type="TxLink">
            <a:rPr lang="en-US" sz="1100" b="0" i="0" u="none" strike="noStrike">
              <a:solidFill>
                <a:srgbClr val="000000"/>
              </a:solidFill>
              <a:latin typeface="Calibri"/>
              <a:cs typeface="Calibri"/>
            </a:rPr>
            <a:pPr/>
            <a:t>$24,078.00</a:t>
          </a:fld>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025.826802083335" backgroundQuery="1" createdVersion="7" refreshedVersion="7" minRefreshableVersion="3" recordCount="0" supportSubquery="1" supportAdvancedDrill="1" xr:uid="{F357595C-DE55-4AA3-821E-89B1491B138B}">
  <cacheSource type="external" connectionId="1"/>
  <cacheFields count="4">
    <cacheField name="[Table1].[Region].[Region]" caption="Region" numFmtId="0" hierarchy="2" level="1">
      <sharedItems count="4">
        <s v="East"/>
        <s v="North"/>
        <s v="South"/>
        <s v="West"/>
      </sharedItems>
    </cacheField>
    <cacheField name="[Table1].[Channel].[Channel]" caption="Channel" numFmtId="0" hierarchy="6" level="1">
      <sharedItems count="3">
        <s v="Online"/>
        <s v="Retail"/>
        <s v="Distributor"/>
      </sharedItems>
    </cacheField>
    <cacheField name="[Measures].[Sum of Net Sales]" caption="Sum of Net Sales" numFmtId="0" hierarchy="22" level="32767"/>
    <cacheField name="[Table1].[Salesperson].[Salesperson]" caption="Salesperson" numFmtId="0" hierarchy="5" level="1">
      <sharedItems containsSemiMixedTypes="0" containsNonDate="0" containsString="0"/>
    </cacheField>
  </cacheFields>
  <cacheHierarchies count="27">
    <cacheHierarchy uniqueName="[Table1].[OrderID]" caption="OrderID" attribute="1" defaultMemberUniqueName="[Table1].[OrderID].[All]" allUniqueName="[Table1].[OrderID].[All]" dimensionUniqueName="[Table1]" displayFolder="" count="2" memberValueDatatype="20" unbalanced="0"/>
    <cacheHierarchy uniqueName="[Table1].[OrderDate]" caption="OrderDate" attribute="1" time="1" defaultMemberUniqueName="[Table1].[OrderDate].[All]" allUniqueName="[Table1].[Order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3"/>
      </fieldsUsage>
    </cacheHierarchy>
    <cacheHierarchy uniqueName="[Table1].[Channel]" caption="Channel" attribute="1" defaultMemberUniqueName="[Table1].[Channel].[All]" allUniqueName="[Table1].[Channel].[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sSold]" caption="UnitsSold" attribute="1" defaultMemberUniqueName="[Table1].[UnitsSold].[All]" allUniqueName="[Table1].[UnitsSold].[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Gross sales]" caption="Gross sales" attribute="1" defaultMemberUniqueName="[Table1].[Gross sales].[All]" allUniqueName="[Table1].[Gross sales].[All]" dimensionUniqueName="[Table1]" displayFolder="" count="2" memberValueDatatype="20" unbalanced="0"/>
    <cacheHierarchy uniqueName="[Table1].[Discount Amount]" caption="Discount Amount" attribute="1" defaultMemberUniqueName="[Table1].[Discount Amount].[All]" allUniqueName="[Table1].[Discount Amount].[All]" dimensionUniqueName="[Table1]" displayFolder="" count="2" memberValueDatatype="5" unbalanced="0"/>
    <cacheHierarchy uniqueName="[Table1].[Net Sales]" caption="Net Sales" attribute="1" defaultMemberUniqueName="[Table1].[Net Sales].[All]" allUniqueName="[Table1].[Net Sales].[All]" dimensionUniqueName="[Table1]" displayFolder="" count="2" memberValueDatatype="5" unbalanced="0"/>
    <cacheHierarchy uniqueName="[Table1].[Order Month]" caption="Order Month" attribute="1" defaultMemberUniqueName="[Table1].[Order Month].[All]" allUniqueName="[Table1].[Order Month].[All]" dimensionUniqueName="[Table1]" displayFolder="" count="2" memberValueDatatype="130" unbalanced="0"/>
    <cacheHierarchy uniqueName="[Table1].[Order Quarter]" caption="Order Quarter" attribute="1" defaultMemberUniqueName="[Table1].[Order Quarter].[All]" allUniqueName="[Table1].[Order Quarter].[All]" dimensionUniqueName="[Table1]" displayFolder="" count="2" memberValueDatatype="130" unbalanced="0"/>
    <cacheHierarchy uniqueName="[Table1].[Sales Band]" caption="Sales Band" attribute="1" defaultMemberUniqueName="[Table1].[Sales Band].[All]" allUniqueName="[Table1].[Sales Band].[All]" dimensionUniqueName="[Table1]" displayFolder="" count="2" memberValueDatatype="130" unbalanced="0"/>
    <cacheHierarchy uniqueName="[Table1].[Profit (Assume fixed margin)]" caption="Profit (Assume fixed margin)" attribute="1" defaultMemberUniqueName="[Table1].[Profit (Assume fixed margin)].[All]" allUniqueName="[Table1].[Profit (Assume fixed margin)].[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Gross sales]" caption="Sum of Gross sales" measure="1" displayFolder="" measureGroup="Table1" count="0" hidden="1">
      <extLst>
        <ext xmlns:x15="http://schemas.microsoft.com/office/spreadsheetml/2010/11/main" uri="{B97F6D7D-B522-45F9-BDA1-12C45D357490}">
          <x15:cacheHierarchy aggregatedColumn="12"/>
        </ext>
      </extLst>
    </cacheHierarchy>
    <cacheHierarchy uniqueName="[Measures].[Sum of Net Sales]" caption="Sum of Net Sales"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Assume fixed margin)]" caption="Sum of Profit (Assume fixed margin)" measure="1" displayFolder="" measureGroup="Table1" count="0" hidden="1">
      <extLst>
        <ext xmlns:x15="http://schemas.microsoft.com/office/spreadsheetml/2010/11/main" uri="{B97F6D7D-B522-45F9-BDA1-12C45D357490}">
          <x15:cacheHierarchy aggregatedColumn="18"/>
        </ext>
      </extLst>
    </cacheHierarchy>
    <cacheHierarchy uniqueName="[Measures].[Count of Sales Band]" caption="Count of Sales Band" measure="1" displayFolder="" measureGroup="Table1" count="0" hidden="1">
      <extLst>
        <ext xmlns:x15="http://schemas.microsoft.com/office/spreadsheetml/2010/11/main" uri="{B97F6D7D-B522-45F9-BDA1-12C45D357490}">
          <x15:cacheHierarchy aggregatedColumn="17"/>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025.826802546297" backgroundQuery="1" createdVersion="7" refreshedVersion="7" minRefreshableVersion="3" recordCount="0" supportSubquery="1" supportAdvancedDrill="1" xr:uid="{CF99D896-C248-408D-9322-A6E25A13CD27}">
  <cacheSource type="external" connectionId="1"/>
  <cacheFields count="3">
    <cacheField name="[Measures].[Sum of Profit (Assume fixed margin)]" caption="Sum of Profit (Assume fixed margin)" numFmtId="0" hierarchy="23" level="32767"/>
    <cacheField name="[Table1].[Category].[Category]" caption="Category" numFmtId="0" hierarchy="8" level="1">
      <sharedItems count="2">
        <s v="Accessories"/>
        <s v="Electronics"/>
      </sharedItems>
    </cacheField>
    <cacheField name="[Table1].[Salesperson].[Salesperson]" caption="Salesperson" numFmtId="0" hierarchy="5" level="1">
      <sharedItems containsSemiMixedTypes="0" containsNonDate="0" containsString="0"/>
    </cacheField>
  </cacheFields>
  <cacheHierarchies count="27">
    <cacheHierarchy uniqueName="[Table1].[OrderID]" caption="OrderID" attribute="1" defaultMemberUniqueName="[Table1].[OrderID].[All]" allUniqueName="[Table1].[OrderID].[All]" dimensionUniqueName="[Table1]" displayFolder="" count="0" memberValueDatatype="2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2"/>
      </fieldsUsage>
    </cacheHierarchy>
    <cacheHierarchy uniqueName="[Table1].[Channel]" caption="Channel" attribute="1" defaultMemberUniqueName="[Table1].[Channel].[All]" allUniqueName="[Table1].[Channel].[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UnitsSold]" caption="UnitsSold" attribute="1" defaultMemberUniqueName="[Table1].[UnitsSold].[All]" allUniqueName="[Table1].[UnitsSold].[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Quarter]" caption="Order Quarter" attribute="1" defaultMemberUniqueName="[Table1].[Order Quarter].[All]" allUniqueName="[Table1].[Order Quarter].[All]" dimensionUniqueName="[Table1]" displayFolder="" count="0" memberValueDatatype="130" unbalanced="0"/>
    <cacheHierarchy uniqueName="[Table1].[Sales Band]" caption="Sales Band" attribute="1" defaultMemberUniqueName="[Table1].[Sales Band].[All]" allUniqueName="[Table1].[Sales Band].[All]" dimensionUniqueName="[Table1]" displayFolder="" count="0" memberValueDatatype="130" unbalanced="0"/>
    <cacheHierarchy uniqueName="[Table1].[Profit (Assume fixed margin)]" caption="Profit (Assume fixed margin)" attribute="1" defaultMemberUniqueName="[Table1].[Profit (Assume fixed margin)].[All]" allUniqueName="[Table1].[Profit (Assume fixed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Gross sales]" caption="Sum of Gross sales" measure="1" displayFolder="" measureGroup="Table1" count="0" hidden="1">
      <extLst>
        <ext xmlns:x15="http://schemas.microsoft.com/office/spreadsheetml/2010/11/main" uri="{B97F6D7D-B522-45F9-BDA1-12C45D357490}">
          <x15:cacheHierarchy aggregatedColumn="12"/>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Profit (Assume fixed margin)]" caption="Sum of Profit (Assume fixed margin)"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ales Band]" caption="Count of Sales Band" measure="1" displayFolder="" measureGroup="Table1" count="0" hidden="1">
      <extLst>
        <ext xmlns:x15="http://schemas.microsoft.com/office/spreadsheetml/2010/11/main" uri="{B97F6D7D-B522-45F9-BDA1-12C45D357490}">
          <x15:cacheHierarchy aggregatedColumn="17"/>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025.82680347222" backgroundQuery="1" createdVersion="7" refreshedVersion="7" minRefreshableVersion="3" recordCount="0" supportSubquery="1" supportAdvancedDrill="1" xr:uid="{9263C3AB-04A1-4AFC-A173-E13682730C50}">
  <cacheSource type="external" connectionId="1"/>
  <cacheFields count="4">
    <cacheField name="[Table1].[Order Month].[Order Month]" caption="Order Month" numFmtId="0" hierarchy="15" level="1">
      <sharedItems count="12">
        <s v="April"/>
        <s v="August"/>
        <s v="December"/>
        <s v="February"/>
        <s v="January"/>
        <s v="July"/>
        <s v="June"/>
        <s v="March"/>
        <s v="May"/>
        <s v="November"/>
        <s v="October"/>
        <s v="September"/>
      </sharedItems>
    </cacheField>
    <cacheField name="[Measures].[Sum of Net Sales]" caption="Sum of Net Sales" numFmtId="0" hierarchy="22" level="32767"/>
    <cacheField name="[Table1].[Order Quarter].[Order Quarter]" caption="Order Quarter" numFmtId="0" hierarchy="16" level="1">
      <sharedItems containsSemiMixedTypes="0" containsNonDate="0" containsString="0"/>
    </cacheField>
    <cacheField name="[Table1].[Salesperson].[Salesperson]" caption="Salesperson" numFmtId="0" hierarchy="5" level="1">
      <sharedItems containsSemiMixedTypes="0" containsNonDate="0" containsString="0"/>
    </cacheField>
  </cacheFields>
  <cacheHierarchies count="27">
    <cacheHierarchy uniqueName="[Table1].[OrderID]" caption="OrderID" attribute="1" defaultMemberUniqueName="[Table1].[OrderID].[All]" allUniqueName="[Table1].[OrderID].[All]" dimensionUniqueName="[Table1]" displayFolder="" count="0" memberValueDatatype="2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3"/>
      </fieldsUsage>
    </cacheHierarchy>
    <cacheHierarchy uniqueName="[Table1].[Channel]" caption="Channel" attribute="1" defaultMemberUniqueName="[Table1].[Channel].[All]" allUniqueName="[Table1].[Channel].[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sSold]" caption="UnitsSold" attribute="1" defaultMemberUniqueName="[Table1].[UnitsSold].[All]" allUniqueName="[Table1].[UnitsSold].[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Order Month]" caption="Order Month" attribute="1" defaultMemberUniqueName="[Table1].[Order Month].[All]" allUniqueName="[Table1].[Order Month].[All]" dimensionUniqueName="[Table1]" displayFolder="" count="2" memberValueDatatype="130" unbalanced="0">
      <fieldsUsage count="2">
        <fieldUsage x="-1"/>
        <fieldUsage x="0"/>
      </fieldsUsage>
    </cacheHierarchy>
    <cacheHierarchy uniqueName="[Table1].[Order Quarter]" caption="Order Quarter" attribute="1" defaultMemberUniqueName="[Table1].[Order Quarter].[All]" allUniqueName="[Table1].[Order Quarter].[All]" dimensionUniqueName="[Table1]" displayFolder="" count="2" memberValueDatatype="130" unbalanced="0">
      <fieldsUsage count="2">
        <fieldUsage x="-1"/>
        <fieldUsage x="2"/>
      </fieldsUsage>
    </cacheHierarchy>
    <cacheHierarchy uniqueName="[Table1].[Sales Band]" caption="Sales Band" attribute="1" defaultMemberUniqueName="[Table1].[Sales Band].[All]" allUniqueName="[Table1].[Sales Band].[All]" dimensionUniqueName="[Table1]" displayFolder="" count="0" memberValueDatatype="130" unbalanced="0"/>
    <cacheHierarchy uniqueName="[Table1].[Profit (Assume fixed margin)]" caption="Profit (Assume fixed margin)" attribute="1" defaultMemberUniqueName="[Table1].[Profit (Assume fixed margin)].[All]" allUniqueName="[Table1].[Profit (Assume fixed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Gross sales]" caption="Sum of Gross sales" measure="1" displayFolder="" measureGroup="Table1" count="0" hidden="1">
      <extLst>
        <ext xmlns:x15="http://schemas.microsoft.com/office/spreadsheetml/2010/11/main" uri="{B97F6D7D-B522-45F9-BDA1-12C45D357490}">
          <x15:cacheHierarchy aggregatedColumn="12"/>
        </ext>
      </extLst>
    </cacheHierarchy>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Assume fixed margin)]" caption="Sum of Profit (Assume fixed margin)" measure="1" displayFolder="" measureGroup="Table1" count="0" hidden="1">
      <extLst>
        <ext xmlns:x15="http://schemas.microsoft.com/office/spreadsheetml/2010/11/main" uri="{B97F6D7D-B522-45F9-BDA1-12C45D357490}">
          <x15:cacheHierarchy aggregatedColumn="18"/>
        </ext>
      </extLst>
    </cacheHierarchy>
    <cacheHierarchy uniqueName="[Measures].[Count of Sales Band]" caption="Count of Sales Band" measure="1" displayFolder="" measureGroup="Table1" count="0" hidden="1">
      <extLst>
        <ext xmlns:x15="http://schemas.microsoft.com/office/spreadsheetml/2010/11/main" uri="{B97F6D7D-B522-45F9-BDA1-12C45D357490}">
          <x15:cacheHierarchy aggregatedColumn="17"/>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025.826804166667" backgroundQuery="1" createdVersion="7" refreshedVersion="7" minRefreshableVersion="3" recordCount="0" supportSubquery="1" supportAdvancedDrill="1" xr:uid="{20F6D61A-DA1E-447C-A592-1829D324109F}">
  <cacheSource type="external" connectionId="1"/>
  <cacheFields count="4">
    <cacheField name="[Table1].[Sales Band].[Sales Band]" caption="Sales Band" numFmtId="0" hierarchy="17" level="1">
      <sharedItems count="3">
        <s v="High"/>
        <s v="Low"/>
        <s v="Medium"/>
      </sharedItems>
    </cacheField>
    <cacheField name="[Measures].[Count of OrderID]" caption="Count of OrderID" numFmtId="0" hierarchy="26" level="32767"/>
    <cacheField name="[Measures].[Sum of Net Sales]" caption="Sum of Net Sales" numFmtId="0" hierarchy="22" level="32767"/>
    <cacheField name="[Table1].[Salesperson].[Salesperson]" caption="Salesperson" numFmtId="0" hierarchy="5" level="1">
      <sharedItems containsSemiMixedTypes="0" containsNonDate="0" containsString="0"/>
    </cacheField>
  </cacheFields>
  <cacheHierarchies count="27">
    <cacheHierarchy uniqueName="[Table1].[OrderID]" caption="OrderID" attribute="1" defaultMemberUniqueName="[Table1].[OrderID].[All]" allUniqueName="[Table1].[OrderID].[All]" dimensionUniqueName="[Table1]" displayFolder="" count="0" memberValueDatatype="2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3"/>
      </fieldsUsage>
    </cacheHierarchy>
    <cacheHierarchy uniqueName="[Table1].[Channel]" caption="Channel" attribute="1" defaultMemberUniqueName="[Table1].[Channel].[All]" allUniqueName="[Table1].[Channel].[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sSold]" caption="UnitsSold" attribute="1" defaultMemberUniqueName="[Table1].[UnitsSold].[All]" allUniqueName="[Table1].[UnitsSold].[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Quarter]" caption="Order Quarter" attribute="1" defaultMemberUniqueName="[Table1].[Order Quarter].[All]" allUniqueName="[Table1].[Order Quarter].[All]" dimensionUniqueName="[Table1]" displayFolder="" count="0" memberValueDatatype="130" unbalanced="0"/>
    <cacheHierarchy uniqueName="[Table1].[Sales Band]" caption="Sales Band" attribute="1" defaultMemberUniqueName="[Table1].[Sales Band].[All]" allUniqueName="[Table1].[Sales Band].[All]" dimensionUniqueName="[Table1]" displayFolder="" count="2" memberValueDatatype="130" unbalanced="0">
      <fieldsUsage count="2">
        <fieldUsage x="-1"/>
        <fieldUsage x="0"/>
      </fieldsUsage>
    </cacheHierarchy>
    <cacheHierarchy uniqueName="[Table1].[Profit (Assume fixed margin)]" caption="Profit (Assume fixed margin)" attribute="1" defaultMemberUniqueName="[Table1].[Profit (Assume fixed margin)].[All]" allUniqueName="[Table1].[Profit (Assume fixed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Gross sales]" caption="Sum of Gross sales" measure="1" displayFolder="" measureGroup="Table1" count="0" hidden="1">
      <extLst>
        <ext xmlns:x15="http://schemas.microsoft.com/office/spreadsheetml/2010/11/main" uri="{B97F6D7D-B522-45F9-BDA1-12C45D357490}">
          <x15:cacheHierarchy aggregatedColumn="12"/>
        </ext>
      </extLst>
    </cacheHierarchy>
    <cacheHierarchy uniqueName="[Measures].[Sum of Net Sales]" caption="Sum of Net Sales"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Assume fixed margin)]" caption="Sum of Profit (Assume fixed margin)" measure="1" displayFolder="" measureGroup="Table1" count="0" hidden="1">
      <extLst>
        <ext xmlns:x15="http://schemas.microsoft.com/office/spreadsheetml/2010/11/main" uri="{B97F6D7D-B522-45F9-BDA1-12C45D357490}">
          <x15:cacheHierarchy aggregatedColumn="18"/>
        </ext>
      </extLst>
    </cacheHierarchy>
    <cacheHierarchy uniqueName="[Measures].[Count of Sales Band]" caption="Count of Sales Band" measure="1" displayFolder="" measureGroup="Table1" count="0" hidden="1">
      <extLst>
        <ext xmlns:x15="http://schemas.microsoft.com/office/spreadsheetml/2010/11/main" uri="{B97F6D7D-B522-45F9-BDA1-12C45D357490}">
          <x15:cacheHierarchy aggregatedColumn="17"/>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025.826801504627" backgroundQuery="1" createdVersion="7" refreshedVersion="7" minRefreshableVersion="3" recordCount="0" supportSubquery="1" supportAdvancedDrill="1" xr:uid="{BA607FEF-BF8D-4754-A81D-6D327D3A61A5}">
  <cacheSource type="external" connectionId="1"/>
  <cacheFields count="4">
    <cacheField name="[Measures].[Sum of Net Sales]" caption="Sum of Net Sales" numFmtId="0" hierarchy="22" level="32767"/>
    <cacheField name="[Measures].[Sum of Profit (Assume fixed margin)]" caption="Sum of Profit (Assume fixed margin)" numFmtId="0" hierarchy="23" level="32767"/>
    <cacheField name="[Measures].[Sum of OrderID]" caption="Sum of OrderID" numFmtId="0" hierarchy="25" level="32767"/>
    <cacheField name="[Table1].[Salesperson].[Salesperson]" caption="Salesperson" numFmtId="0" hierarchy="5" level="1">
      <sharedItems containsSemiMixedTypes="0" containsNonDate="0" containsString="0"/>
    </cacheField>
  </cacheFields>
  <cacheHierarchies count="27">
    <cacheHierarchy uniqueName="[Table1].[OrderID]" caption="OrderID" attribute="1" defaultMemberUniqueName="[Table1].[OrderID].[All]" allUniqueName="[Table1].[OrderID].[All]" dimensionUniqueName="[Table1]" displayFolder="" count="0" memberValueDatatype="2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3"/>
      </fieldsUsage>
    </cacheHierarchy>
    <cacheHierarchy uniqueName="[Table1].[Channel]" caption="Channel" attribute="1" defaultMemberUniqueName="[Table1].[Channel].[All]" allUniqueName="[Table1].[Channel].[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sSold]" caption="UnitsSold" attribute="1" defaultMemberUniqueName="[Table1].[UnitsSold].[All]" allUniqueName="[Table1].[UnitsSold].[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Quarter]" caption="Order Quarter" attribute="1" defaultMemberUniqueName="[Table1].[Order Quarter].[All]" allUniqueName="[Table1].[Order Quarter].[All]" dimensionUniqueName="[Table1]" displayFolder="" count="0" memberValueDatatype="130" unbalanced="0"/>
    <cacheHierarchy uniqueName="[Table1].[Sales Band]" caption="Sales Band" attribute="1" defaultMemberUniqueName="[Table1].[Sales Band].[All]" allUniqueName="[Table1].[Sales Band].[All]" dimensionUniqueName="[Table1]" displayFolder="" count="0" memberValueDatatype="130" unbalanced="0"/>
    <cacheHierarchy uniqueName="[Table1].[Profit (Assume fixed margin)]" caption="Profit (Assume fixed margin)" attribute="1" defaultMemberUniqueName="[Table1].[Profit (Assume fixed margin)].[All]" allUniqueName="[Table1].[Profit (Assume fixed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Gross sales]" caption="Sum of Gross sales" measure="1" displayFolder="" measureGroup="Table1" count="0" hidden="1">
      <extLst>
        <ext xmlns:x15="http://schemas.microsoft.com/office/spreadsheetml/2010/11/main" uri="{B97F6D7D-B522-45F9-BDA1-12C45D357490}">
          <x15:cacheHierarchy aggregatedColumn="12"/>
        </ext>
      </extLst>
    </cacheHierarchy>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Assume fixed margin)]" caption="Sum of Profit (Assume fixed margin)"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ales Band]" caption="Count of Sales Band" measure="1" displayFolder="" measureGroup="Table1" count="0" hidden="1">
      <extLst>
        <ext xmlns:x15="http://schemas.microsoft.com/office/spreadsheetml/2010/11/main" uri="{B97F6D7D-B522-45F9-BDA1-12C45D357490}">
          <x15:cacheHierarchy aggregatedColumn="17"/>
        </ext>
      </extLst>
    </cacheHierarchy>
    <cacheHierarchy uniqueName="[Measures].[Sum of OrderID]" caption="Sum of Order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025.826803009259" backgroundQuery="1" createdVersion="7" refreshedVersion="7" minRefreshableVersion="3" recordCount="0" supportSubquery="1" supportAdvancedDrill="1" xr:uid="{9CF96EF3-D57D-4652-BD01-79939C9FA9A5}">
  <cacheSource type="external" connectionId="1"/>
  <cacheFields count="5">
    <cacheField name="[Table1].[Salesperson].[Salesperson]" caption="Salesperson" numFmtId="0" hierarchy="5" level="1">
      <sharedItems count="5">
        <s v="Ahmed"/>
        <s v="Lina"/>
        <s v="Mona"/>
        <s v="Omar"/>
        <s v="Sara"/>
      </sharedItems>
    </cacheField>
    <cacheField name="[Measures].[Sum of Net Sales]" caption="Sum of Net Sales" numFmtId="0" hierarchy="22" level="32767"/>
    <cacheField name="[Measures].[Sum of Profit (Assume fixed margin)]" caption="Sum of Profit (Assume fixed margin)" numFmtId="0" hierarchy="23" level="32767"/>
    <cacheField name="[Table1].[Country].[Country]" caption="Country" numFmtId="0" hierarchy="3" level="1">
      <sharedItems containsSemiMixedTypes="0" containsNonDate="0" containsString="0"/>
    </cacheField>
    <cacheField name="[Table1].[Channel].[Channel]" caption="Channel" numFmtId="0" hierarchy="6" level="1">
      <sharedItems containsSemiMixedTypes="0" containsNonDate="0" containsString="0"/>
    </cacheField>
  </cacheFields>
  <cacheHierarchies count="27">
    <cacheHierarchy uniqueName="[Table1].[OrderID]" caption="OrderID" attribute="1" defaultMemberUniqueName="[Table1].[OrderID].[All]" allUniqueName="[Table1].[OrderID].[All]" dimensionUniqueName="[Table1]" displayFolder="" count="0" memberValueDatatype="2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Channel]" caption="Channel" attribute="1" defaultMemberUniqueName="[Table1].[Channel].[All]" allUniqueName="[Table1].[Channel].[All]" dimensionUniqueName="[Table1]" displayFolder="" count="2" memberValueDatatype="130" unbalanced="0">
      <fieldsUsage count="2">
        <fieldUsage x="-1"/>
        <fieldUsage x="4"/>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sSold]" caption="UnitsSold" attribute="1" defaultMemberUniqueName="[Table1].[UnitsSold].[All]" allUniqueName="[Table1].[UnitsSold].[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Quarter]" caption="Order Quarter" attribute="1" defaultMemberUniqueName="[Table1].[Order Quarter].[All]" allUniqueName="[Table1].[Order Quarter].[All]" dimensionUniqueName="[Table1]" displayFolder="" count="0" memberValueDatatype="130" unbalanced="0"/>
    <cacheHierarchy uniqueName="[Table1].[Sales Band]" caption="Sales Band" attribute="1" defaultMemberUniqueName="[Table1].[Sales Band].[All]" allUniqueName="[Table1].[Sales Band].[All]" dimensionUniqueName="[Table1]" displayFolder="" count="0" memberValueDatatype="130" unbalanced="0"/>
    <cacheHierarchy uniqueName="[Table1].[Profit (Assume fixed margin)]" caption="Profit (Assume fixed margin)" attribute="1" defaultMemberUniqueName="[Table1].[Profit (Assume fixed margin)].[All]" allUniqueName="[Table1].[Profit (Assume fixed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Gross sales]" caption="Sum of Gross sales" measure="1" displayFolder="" measureGroup="Table1" count="0" hidden="1">
      <extLst>
        <ext xmlns:x15="http://schemas.microsoft.com/office/spreadsheetml/2010/11/main" uri="{B97F6D7D-B522-45F9-BDA1-12C45D357490}">
          <x15:cacheHierarchy aggregatedColumn="12"/>
        </ext>
      </extLst>
    </cacheHierarchy>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Assume fixed margin)]" caption="Sum of Profit (Assume fixed margin)"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Sales Band]" caption="Count of Sales Band" measure="1" displayFolder="" measureGroup="Table1" count="0" hidden="1">
      <extLst>
        <ext xmlns:x15="http://schemas.microsoft.com/office/spreadsheetml/2010/11/main" uri="{B97F6D7D-B522-45F9-BDA1-12C45D357490}">
          <x15:cacheHierarchy aggregatedColumn="17"/>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024.495859953706" backgroundQuery="1" createdVersion="3" refreshedVersion="7" minRefreshableVersion="3" recordCount="0" supportSubquery="1" supportAdvancedDrill="1" xr:uid="{66A03F68-2647-41D4-A86B-6CF445A3590B}">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OrderID]" caption="OrderID" attribute="1" defaultMemberUniqueName="[Table1].[OrderID].[All]" allUniqueName="[Table1].[OrderID].[All]" dimensionUniqueName="[Table1]" displayFolder="" count="0" memberValueDatatype="2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sSold]" caption="UnitsSold" attribute="1" defaultMemberUniqueName="[Table1].[UnitsSold].[All]" allUniqueName="[Table1].[UnitsSold].[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Sales]" caption="Net Sales" attribute="1" defaultMemberUniqueName="[Table1].[Net Sales].[All]" allUniqueName="[Table1].[Net Sales].[All]" dimensionUniqueName="[Table1]" displayFolder="" count="2" memberValueDatatype="5" unbalanced="0"/>
    <cacheHierarchy uniqueName="[Table1].[Order Month]" caption="Order Month" attribute="1" defaultMemberUniqueName="[Table1].[Order Month].[All]" allUniqueName="[Table1].[Order Month].[All]" dimensionUniqueName="[Table1]" displayFolder="" count="2" memberValueDatatype="130" unbalanced="0"/>
    <cacheHierarchy uniqueName="[Table1].[Order Quarter]" caption="Order Quarter" attribute="1" defaultMemberUniqueName="[Table1].[Order Quarter].[All]" allUniqueName="[Table1].[Order Quarter].[All]" dimensionUniqueName="[Table1]" displayFolder="" count="0" memberValueDatatype="130" unbalanced="0"/>
    <cacheHierarchy uniqueName="[Table1].[Sales Band]" caption="Sales Band" attribute="1" defaultMemberUniqueName="[Table1].[Sales Band].[All]" allUniqueName="[Table1].[Sales Band].[All]" dimensionUniqueName="[Table1]" displayFolder="" count="0" memberValueDatatype="130" unbalanced="0"/>
    <cacheHierarchy uniqueName="[Table1].[Profit (Assume fixed margin)]" caption="Profit (Assume fixed margin)" attribute="1" defaultMemberUniqueName="[Table1].[Profit (Assume fixed margin)].[All]" allUniqueName="[Table1].[Profit (Assume fixed margin)].[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Gross sales]" caption="Sum of Gross sales" measure="1" displayFolder="" measureGroup="Table1" count="0" hidden="1">
      <extLst>
        <ext xmlns:x15="http://schemas.microsoft.com/office/spreadsheetml/2010/11/main" uri="{B97F6D7D-B522-45F9-BDA1-12C45D357490}">
          <x15:cacheHierarchy aggregatedColumn="12"/>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Profit (Assume fixed margin)]" caption="Sum of Profit (Assume fixed margin)" measure="1" displayFolder="" measureGroup="Table1" count="0" hidden="1">
      <extLst>
        <ext xmlns:x15="http://schemas.microsoft.com/office/spreadsheetml/2010/11/main" uri="{B97F6D7D-B522-45F9-BDA1-12C45D357490}">
          <x15:cacheHierarchy aggregatedColumn="18"/>
        </ext>
      </extLst>
    </cacheHierarchy>
    <cacheHierarchy uniqueName="[Measures].[Count of Sales Band]" caption="Count of Sales Band" measure="1" displayFolder="" measureGroup="Table1" count="0" hidden="1">
      <extLst>
        <ext xmlns:x15="http://schemas.microsoft.com/office/spreadsheetml/2010/11/main" uri="{B97F6D7D-B522-45F9-BDA1-12C45D357490}">
          <x15:cacheHierarchy aggregatedColumn="17"/>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938672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193980-454A-40F6-BEAF-2058977989F5}" name="PivotTable1"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J6" firstHeaderRow="1" firstDataRow="3" firstDataCol="1"/>
  <pivotFields count="4">
    <pivotField axis="axisCol"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Fields count="2">
    <field x="0"/>
    <field x="1"/>
  </colFields>
  <colItems count="9">
    <i>
      <x/>
      <x/>
    </i>
    <i r="1">
      <x v="1"/>
    </i>
    <i>
      <x v="1"/>
      <x v="2"/>
    </i>
    <i>
      <x v="2"/>
      <x v="2"/>
    </i>
    <i r="1">
      <x/>
    </i>
    <i r="1">
      <x v="1"/>
    </i>
    <i>
      <x v="3"/>
      <x/>
    </i>
    <i r="1">
      <x v="1"/>
    </i>
    <i t="grand">
      <x/>
    </i>
  </colItems>
  <dataFields count="1">
    <dataField name="Sum of Net Sales" fld="2" baseField="0" baseItem="0" numFmtId="164"/>
  </dataFields>
  <formats count="2">
    <format dxfId="30">
      <pivotArea outline="0" collapsedLevelsAreSubtotals="1" fieldPosition="0"/>
    </format>
    <format dxfId="29">
      <pivotArea dataOnly="0" labelOnly="1" outline="0" axis="axisValues" fieldPosition="0"/>
    </format>
  </formats>
  <chartFormats count="16">
    <chartFormat chart="0" format="0" series="1">
      <pivotArea type="data" outline="0" fieldPosition="0">
        <references count="3">
          <reference field="4294967294" count="1" selected="0">
            <x v="0"/>
          </reference>
          <reference field="0" count="1" selected="0">
            <x v="0"/>
          </reference>
          <reference field="1" count="1" selected="0">
            <x v="0"/>
          </reference>
        </references>
      </pivotArea>
    </chartFormat>
    <chartFormat chart="0" format="1"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2"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3" series="1">
      <pivotArea type="data" outline="0" fieldPosition="0">
        <references count="3">
          <reference field="4294967294" count="1" selected="0">
            <x v="0"/>
          </reference>
          <reference field="0" count="1" selected="0">
            <x v="2"/>
          </reference>
          <reference field="1" count="1" selected="0">
            <x v="2"/>
          </reference>
        </references>
      </pivotArea>
    </chartFormat>
    <chartFormat chart="0" format="4" series="1">
      <pivotArea type="data" outline="0" fieldPosition="0">
        <references count="3">
          <reference field="4294967294" count="1" selected="0">
            <x v="0"/>
          </reference>
          <reference field="0" count="1" selected="0">
            <x v="2"/>
          </reference>
          <reference field="1" count="1" selected="0">
            <x v="0"/>
          </reference>
        </references>
      </pivotArea>
    </chartFormat>
    <chartFormat chart="0" format="5"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6" series="1">
      <pivotArea type="data" outline="0" fieldPosition="0">
        <references count="3">
          <reference field="4294967294" count="1" selected="0">
            <x v="0"/>
          </reference>
          <reference field="0" count="1" selected="0">
            <x v="3"/>
          </reference>
          <reference field="1" count="1" selected="0">
            <x v="0"/>
          </reference>
        </references>
      </pivotArea>
    </chartFormat>
    <chartFormat chart="0" format="7" series="1">
      <pivotArea type="data" outline="0" fieldPosition="0">
        <references count="3">
          <reference field="4294967294" count="1" selected="0">
            <x v="0"/>
          </reference>
          <reference field="0" count="1" selected="0">
            <x v="3"/>
          </reference>
          <reference field="1" count="1" selected="0">
            <x v="1"/>
          </reference>
        </references>
      </pivotArea>
    </chartFormat>
    <chartFormat chart="2" format="16" series="1">
      <pivotArea type="data" outline="0" fieldPosition="0">
        <references count="3">
          <reference field="4294967294" count="1" selected="0">
            <x v="0"/>
          </reference>
          <reference field="0" count="1" selected="0">
            <x v="0"/>
          </reference>
          <reference field="1" count="1" selected="0">
            <x v="0"/>
          </reference>
        </references>
      </pivotArea>
    </chartFormat>
    <chartFormat chart="2" format="17" series="1">
      <pivotArea type="data" outline="0" fieldPosition="0">
        <references count="3">
          <reference field="4294967294" count="1" selected="0">
            <x v="0"/>
          </reference>
          <reference field="0" count="1" selected="0">
            <x v="0"/>
          </reference>
          <reference field="1" count="1" selected="0">
            <x v="1"/>
          </reference>
        </references>
      </pivotArea>
    </chartFormat>
    <chartFormat chart="2" format="18" series="1">
      <pivotArea type="data" outline="0" fieldPosition="0">
        <references count="3">
          <reference field="4294967294" count="1" selected="0">
            <x v="0"/>
          </reference>
          <reference field="0" count="1" selected="0">
            <x v="1"/>
          </reference>
          <reference field="1" count="1" selected="0">
            <x v="2"/>
          </reference>
        </references>
      </pivotArea>
    </chartFormat>
    <chartFormat chart="2" format="19" series="1">
      <pivotArea type="data" outline="0" fieldPosition="0">
        <references count="3">
          <reference field="4294967294" count="1" selected="0">
            <x v="0"/>
          </reference>
          <reference field="0" count="1" selected="0">
            <x v="2"/>
          </reference>
          <reference field="1" count="1" selected="0">
            <x v="2"/>
          </reference>
        </references>
      </pivotArea>
    </chartFormat>
    <chartFormat chart="2" format="20" series="1">
      <pivotArea type="data" outline="0" fieldPosition="0">
        <references count="3">
          <reference field="4294967294" count="1" selected="0">
            <x v="0"/>
          </reference>
          <reference field="0" count="1" selected="0">
            <x v="2"/>
          </reference>
          <reference field="1" count="1" selected="0">
            <x v="0"/>
          </reference>
        </references>
      </pivotArea>
    </chartFormat>
    <chartFormat chart="2" format="21" series="1">
      <pivotArea type="data" outline="0" fieldPosition="0">
        <references count="3">
          <reference field="4294967294" count="1" selected="0">
            <x v="0"/>
          </reference>
          <reference field="0" count="1" selected="0">
            <x v="2"/>
          </reference>
          <reference field="1" count="1" selected="0">
            <x v="1"/>
          </reference>
        </references>
      </pivotArea>
    </chartFormat>
    <chartFormat chart="2" format="22" series="1">
      <pivotArea type="data" outline="0" fieldPosition="0">
        <references count="3">
          <reference field="4294967294" count="1" selected="0">
            <x v="0"/>
          </reference>
          <reference field="0" count="1" selected="0">
            <x v="3"/>
          </reference>
          <reference field="1" count="1" selected="0">
            <x v="0"/>
          </reference>
        </references>
      </pivotArea>
    </chartFormat>
    <chartFormat chart="2" format="23" series="1">
      <pivotArea type="data" outline="0" fieldPosition="0">
        <references count="3">
          <reference field="4294967294" count="1" selected="0">
            <x v="0"/>
          </reference>
          <reference field="0" count="1" selected="0">
            <x v="3"/>
          </reference>
          <reference field="1" count="1" selected="0">
            <x v="1"/>
          </reference>
        </references>
      </pivotArea>
    </chartFormat>
  </chartFormats>
  <pivotHierarchies count="27">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2">
    <colHierarchyUsage hierarchyUsage="2"/>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t 7.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5CA88F-6E6B-4FEF-BD83-A9690247CF18}"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Profit (Assume fixed margin)" fld="0" showDataAs="percentOfTotal" baseField="1" baseItem="0" numFmtId="1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t 7.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EBA653-140D-49F4-9C49-B9D2800F506B}"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C10" firstHeaderRow="0" firstDataRow="1" firstDataCol="1" rowPageCount="2" colPageCount="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2">
    <pageField fld="3" hier="3" name="[Table1].[Country].[All]" cap="All"/>
    <pageField fld="4" hier="6" name="[Table1].[Channel].[All]" cap="All"/>
  </pageFields>
  <dataFields count="2">
    <dataField name="Sum of Net Sales" fld="1" baseField="0" baseItem="0" numFmtId="164"/>
    <dataField name="Sum of Profit (Assume fixed margin)" fld="2" baseField="0" baseItem="0" numFmtId="164"/>
  </dataFields>
  <formats count="4">
    <format dxfId="28">
      <pivotArea outline="0" collapsedLevelsAreSubtotals="1" fieldPosition="0">
        <references count="1">
          <reference field="4294967294" count="1" selected="0">
            <x v="0"/>
          </reference>
        </references>
      </pivotArea>
    </format>
    <format dxfId="27">
      <pivotArea dataOnly="0" labelOnly="1" outline="0" fieldPosition="0">
        <references count="1">
          <reference field="4294967294" count="1">
            <x v="0"/>
          </reference>
        </references>
      </pivotArea>
    </format>
    <format dxfId="26">
      <pivotArea outline="0" collapsedLevelsAreSubtotals="1" fieldPosition="0">
        <references count="1">
          <reference field="4294967294" count="1" selected="0">
            <x v="1"/>
          </reference>
        </references>
      </pivotArea>
    </format>
    <format dxfId="25">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t 7.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6FEF7-169F-4845-963A-BCFADFE86846}"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6"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2" hier="16" name="[Table1].[Order Quarter].[All]" cap="All"/>
  </pageFields>
  <dataFields count="1">
    <dataField name="Sum of Net Sales" fld="1" baseField="0" baseItem="0" numFmtId="164"/>
  </dataFields>
  <formats count="3">
    <format dxfId="24">
      <pivotArea outline="0" collapsedLevelsAreSubtotals="1" fieldPosition="0"/>
    </format>
    <format dxfId="23">
      <pivotArea dataOnly="0" labelOnly="1" outline="0" fieldPosition="0">
        <references count="1">
          <reference field="2" count="0"/>
        </references>
      </pivotArea>
    </format>
    <format dxfId="2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t 7.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69828E-5250-47D6-953B-FF132110A371}"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C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OrderID" fld="1" subtotal="count" baseField="0" baseItem="0"/>
    <dataField name="Sum of Net Sales" fld="2"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ID"/>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t 7.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4E4EAA-B046-47EB-9A00-0268EADF37E2}"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Net Sales" fld="0" baseField="0" baseItem="0"/>
    <dataField name="Sum of Profit (Assume fixed margin)" fld="1" baseField="0" baseItem="0"/>
    <dataField name="Sum of OrderID" fld="2" baseField="0" baseItem="0"/>
  </dataFields>
  <formats count="1">
    <format dxfId="21">
      <pivotArea outline="0" collapsedLevelsAreSubtotals="1" fieldPosition="0"/>
    </format>
  </formats>
  <pivotHierarchies count="27">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t 7.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784837-3AA9-4C66-A19E-D68B93D9498C}" sourceName="[Table1].[Region]">
  <pivotTables>
    <pivotTable tabId="2" name="PivotTable1"/>
    <pivotTable tabId="4" name="PivotTable3"/>
    <pivotTable tabId="3" name="PivotTable2"/>
    <pivotTable tabId="6" name="PivotTable5"/>
    <pivotTable tabId="5" name="PivotTable4"/>
    <pivotTable tabId="10" name="PivotTable2"/>
  </pivotTables>
  <data>
    <olap pivotCacheId="1793867227">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424EAC-5DDE-4B8B-BD17-A347CD3C52D8}" sourceName="[Table1].[Category]">
  <pivotTables>
    <pivotTable tabId="2" name="PivotTable1"/>
    <pivotTable tabId="4" name="PivotTable3"/>
    <pivotTable tabId="10" name="PivotTable2"/>
    <pivotTable tabId="3" name="PivotTable2"/>
    <pivotTable tabId="6" name="PivotTable5"/>
    <pivotTable tabId="5" name="PivotTable4"/>
  </pivotTables>
  <data>
    <olap pivotCacheId="1793867227">
      <levels count="2">
        <level uniqueName="[Table1].[Category].[(All)]" sourceCaption="(All)" count="0"/>
        <level uniqueName="[Table1].[Category].[Category]" sourceCaption="Category" count="2">
          <ranges>
            <range startItem="0">
              <i n="[Table1].[Category].&amp;[Accessories]" c="Accessories"/>
              <i n="[Table1].[Category].&amp;[Electronics]" c="Electronics"/>
            </range>
          </ranges>
        </level>
      </levels>
      <selections count="1">
        <selection n="[Table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E8B1A6D-8C76-46BA-84DA-03D8AF99B686}" sourceName="[Table1].[Channel]">
  <pivotTables>
    <pivotTable tabId="2" name="PivotTable1"/>
    <pivotTable tabId="4" name="PivotTable3"/>
    <pivotTable tabId="10" name="PivotTable2"/>
    <pivotTable tabId="3" name="PivotTable2"/>
    <pivotTable tabId="6" name="PivotTable5"/>
    <pivotTable tabId="5" name="PivotTable4"/>
  </pivotTables>
  <data>
    <olap pivotCacheId="1793867227">
      <levels count="2">
        <level uniqueName="[Table1].[Channel].[(All)]" sourceCaption="(All)" count="0"/>
        <level uniqueName="[Table1].[Channel].[Channel]" sourceCaption="Channel" count="3">
          <ranges>
            <range startItem="0">
              <i n="[Table1].[Channel].&amp;[Distributor]" c="Distributor"/>
              <i n="[Table1].[Channel].&amp;[Online]" c="Online"/>
              <i n="[Table1].[Channel].&amp;[Retail]" c="Retail"/>
            </range>
          </ranges>
        </level>
      </levels>
      <selections count="1">
        <selection n="[Table1].[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C319B04-B410-45A8-8B93-25C111208897}" sourceName="[Table1].[Salesperson]">
  <pivotTables>
    <pivotTable tabId="2" name="PivotTable1"/>
    <pivotTable tabId="3" name="PivotTable2"/>
    <pivotTable tabId="4" name="PivotTable3"/>
    <pivotTable tabId="5" name="PivotTable4"/>
    <pivotTable tabId="6" name="PivotTable5"/>
    <pivotTable tabId="10" name="PivotTable2"/>
  </pivotTables>
  <data>
    <olap pivotCacheId="1793867227">
      <levels count="2">
        <level uniqueName="[Table1].[Salesperson].[(All)]" sourceCaption="(All)" count="0"/>
        <level uniqueName="[Table1].[Salesperson].[Salesperson]" sourceCaption="Salesperson" count="5">
          <ranges>
            <range startItem="0">
              <i n="[Table1].[Salesperson].&amp;[Ahmed]" c="Ahmed"/>
              <i n="[Table1].[Salesperson].&amp;[Lina]" c="Lina"/>
              <i n="[Table1].[Salesperson].&amp;[Mona]" c="Mona"/>
              <i n="[Table1].[Salesperson].&amp;[Omar]" c="Omar"/>
              <i n="[Table1].[Salesperson].&amp;[Sara]" c="Sara"/>
            </range>
          </ranges>
        </level>
      </levels>
      <selections count="1">
        <selection n="[Table1].[Salespers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t_Sales" xr10:uid="{4879301E-0665-4A02-8449-39017040B48D}" sourceName="[Table1].[Net Sales]">
  <pivotTables>
    <pivotTable tabId="2" name="PivotTable1"/>
  </pivotTables>
  <data>
    <olap pivotCacheId="1793867227">
      <levels count="2">
        <level uniqueName="[Table1].[Net Sales].[(All)]" sourceCaption="(All)" count="0"/>
        <level uniqueName="[Table1].[Net Sales].[Net Sales]" sourceCaption="Net Sales" count="12">
          <ranges>
            <range startItem="0">
              <i n="[Table1].[Net Sales].&amp;[2.592E3]" c="2592"/>
              <i n="[Table1].[Net Sales].&amp;[3.12E3]" c="3120"/>
              <i n="[Table1].[Net Sales].&amp;[3.325E3]" c="3325"/>
              <i n="[Table1].[Net Sales].&amp;[3.6E3]" c="3600"/>
              <i n="[Table1].[Net Sales].&amp;[3.6848E3]" c="3684.8"/>
              <i n="[Table1].[Net Sales].&amp;[1.2328E4]" c="12328"/>
              <i n="[Table1].[Net Sales].&amp;[1.767E4]" c="17670"/>
              <i n="[Table1].[Net Sales].&amp;[1.786E4]" c="17860"/>
              <i n="[Table1].[Net Sales].&amp;[1.953E4]" c="19530"/>
              <i n="[Table1].[Net Sales].&amp;[3.4532E4]" c="34532"/>
              <i n="[Table1].[Net Sales].&amp;[3.51E4]" c="35100"/>
              <i n="[Table1].[Net Sales].&amp;[3.515E4]" c="35150"/>
            </range>
          </ranges>
        </level>
      </levels>
      <selections count="1">
        <selection n="[Table1].[Net Sale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_Assume_fixed_margin" xr10:uid="{53E8099D-9B14-4324-82CF-62DEBBB9E27C}" sourceName="[Table1].[Profit (Assume fixed margin)]">
  <pivotTables>
    <pivotTable tabId="2" name="PivotTable1"/>
  </pivotTables>
  <data>
    <olap pivotCacheId="1793867227">
      <levels count="2">
        <level uniqueName="[Table1].[Profit (Assume fixed margin)].[(All)]" sourceCaption="(All)" count="0"/>
        <level uniqueName="[Table1].[Profit (Assume fixed margin)].[Profit (Assume fixed margin)]" sourceCaption="Profit (Assume fixed margin)" count="12">
          <ranges>
            <range startItem="0">
              <i n="[Table1].[Profit (Assume fixed margin)].&amp;[9.071999999999999E2]" c="907.2"/>
              <i n="[Table1].[Profit (Assume fixed margin)].&amp;[1.092E3]" c="1092"/>
              <i n="[Table1].[Profit (Assume fixed margin)].&amp;[1.16375E3]" c="1163.75"/>
              <i n="[Table1].[Profit (Assume fixed margin)].&amp;[1.26E3]" c="1260"/>
              <i n="[Table1].[Profit (Assume fixed margin)].&amp;[1.28968E3]" c="1289.68"/>
              <i n="[Table1].[Profit (Assume fixed margin)].&amp;[2.4656000000000003E3]" c="2465.6"/>
              <i n="[Table1].[Profit (Assume fixed margin)].&amp;[3.534E3]" c="3534"/>
              <i n="[Table1].[Profit (Assume fixed margin)].&amp;[3.572E3]" c="3572"/>
              <i n="[Table1].[Profit (Assume fixed margin)].&amp;[3.906E3]" c="3906"/>
              <i n="[Table1].[Profit (Assume fixed margin)].&amp;[6.906400000000001E3]" c="6906.4"/>
              <i n="[Table1].[Profit (Assume fixed margin)].&amp;[7.02E3]" c="7020"/>
              <i n="[Table1].[Profit (Assume fixed margin)].&amp;[7.03E3]" c="7030"/>
            </range>
          </ranges>
        </level>
      </levels>
      <selections count="1">
        <selection n="[Table1].[Profit (Assume fixed margi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CCD9DE43-A71F-422D-80F8-BF876B23CAB9}" sourceName="[Table1].[Order Month]">
  <pivotTables>
    <pivotTable tabId="2" name="PivotTable1"/>
  </pivotTables>
  <data>
    <olap pivotCacheId="1793867227">
      <levels count="2">
        <level uniqueName="[Table1].[Order Month].[(All)]" sourceCaption="(All)" count="0"/>
        <level uniqueName="[Table1].[Order Month].[Order Month]" sourceCaption="Order Month" count="12">
          <ranges>
            <range startItem="0">
              <i n="[Table1].[Order Month].&amp;[April]" c="April"/>
              <i n="[Table1].[Order Month].&amp;[August]" c="August"/>
              <i n="[Table1].[Order Month].&amp;[December]" c="December"/>
              <i n="[Table1].[Order Month].&amp;[February]" c="February"/>
              <i n="[Table1].[Order Month].&amp;[January]" c="January"/>
              <i n="[Table1].[Order Month].&amp;[July]" c="July"/>
              <i n="[Table1].[Order Month].&amp;[June]" c="June"/>
              <i n="[Table1].[Order Month].&amp;[March]" c="March"/>
              <i n="[Table1].[Order Month].&amp;[May]" c="May"/>
              <i n="[Table1].[Order Month].&amp;[November]" c="November"/>
              <i n="[Table1].[Order Month].&amp;[October]" c="October"/>
              <i n="[Table1].[Order Month].&amp;[September]" c="September"/>
            </range>
          </ranges>
        </level>
      </levels>
      <selections count="1">
        <selection n="[Table1].[Order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FA5B3F0-5B22-4BF1-AD36-BE860667AC77}" cache="Slicer_Region" caption="Region" level="1" rowHeight="241300"/>
  <slicer name="Category" xr10:uid="{C1F5D0FE-247C-4BD4-AE86-0B10B7660C1B}" cache="Slicer_Category" caption="Category" level="1" rowHeight="241300"/>
  <slicer name="Channel" xr10:uid="{310A823E-6A44-476C-97CD-7492492F1AF6}" cache="Slicer_Channel" caption="Channel" level="1" rowHeight="241300"/>
  <slicer name="Salesperson" xr10:uid="{569EC49E-9B98-4A7D-9931-6CD53749AA08}" cache="Slicer_Salesperson" caption="Salesperson" level="1" rowHeight="241300"/>
  <slicer name="Net Sales" xr10:uid="{31AAEEDF-1166-47E7-BE33-A4A6078B92FC}" cache="Slicer_Net_Sales" caption="Net Sales" level="1" rowHeight="241300"/>
  <slicer name="Profit (Assume fixed margin)" xr10:uid="{046E2122-2787-4C47-8964-369BA47C62F5}" cache="Slicer_Profit__Assume_fixed_margin" caption="Profit (Assume fixed margin)" level="1" rowHeight="241300"/>
  <slicer name="Order Month" xr10:uid="{5D7C4580-A302-44AA-AA95-CBFBD81A042E}" cache="Slicer_Order_Month" caption="Order 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9E292A7-A712-426E-97AB-154CB2E5719F}" cache="Slicer_Region" caption="Region" level="1" rowHeight="241300"/>
  <slicer name="Category 1" xr10:uid="{D342ECBE-2835-4173-BC74-5B60D30E0C47}" cache="Slicer_Category" caption="Category" level="1" rowHeight="241300"/>
  <slicer name="Channel 1" xr10:uid="{F6970E09-8F98-478E-A2B5-0D4D12C152F4}" cache="Slicer_Channel" caption="Channel" level="1" rowHeight="241300"/>
  <slicer name="Salesperson 1" xr10:uid="{6B0BF1A2-0240-4C37-9138-CBB1DF77ABEC}" cache="Slicer_Salesperson" caption="Salespers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59382F-9F44-4D12-BA87-A90FC17DC3E9}" name="Table1" displayName="Table1" ref="A1:S13" totalsRowShown="0" headerRowDxfId="20" dataDxfId="19">
  <autoFilter ref="A1:S13" xr:uid="{7E59382F-9F44-4D12-BA87-A90FC17DC3E9}"/>
  <tableColumns count="19">
    <tableColumn id="1" xr3:uid="{6368C989-05B9-4522-A0B6-DEDF163F5786}" name="OrderID" dataDxfId="18"/>
    <tableColumn id="2" xr3:uid="{860A5F3C-019C-4063-BE16-161143B71E8F}" name="OrderDate" dataDxfId="17"/>
    <tableColumn id="3" xr3:uid="{79C03BDC-B4A4-4F03-B826-9DC9FE77E5C5}" name="Region" dataDxfId="16"/>
    <tableColumn id="4" xr3:uid="{13D05733-EE50-48E8-BA87-08F998A05A26}" name="Country" dataDxfId="15"/>
    <tableColumn id="5" xr3:uid="{A37EBD6D-B1A2-47B4-8231-C9632D7A0E14}" name="City" dataDxfId="14"/>
    <tableColumn id="6" xr3:uid="{94C772BB-0559-4535-89D5-128B0C597C8E}" name="Salesperson" dataDxfId="13"/>
    <tableColumn id="7" xr3:uid="{407AD904-CBA2-4911-A847-7B304407DB32}" name="Channel" dataDxfId="12"/>
    <tableColumn id="8" xr3:uid="{A0831FDF-6D8A-42F7-BE31-477EAA24F6C2}" name="Product" dataDxfId="11"/>
    <tableColumn id="9" xr3:uid="{48CC1162-C486-494C-BB59-B35AB014A2C8}" name="Category" dataDxfId="10"/>
    <tableColumn id="10" xr3:uid="{F72F1868-1FB4-45AC-94FD-495DE5A5C314}" name="UnitsSold" dataDxfId="9"/>
    <tableColumn id="11" xr3:uid="{C8B53530-EC8C-4984-B729-B7D3955A700A}" name="UnitPrice" dataDxfId="8"/>
    <tableColumn id="12" xr3:uid="{D171B033-1BAB-45F8-BA2D-61B13CAA2199}" name="Discount" dataDxfId="7"/>
    <tableColumn id="13" xr3:uid="{D0C592AE-DCAD-4017-B68A-FAA2784D9E6D}" name="Gross sales" dataDxfId="6">
      <calculatedColumnFormula>Table1[[#This Row],[UnitsSold]]*Table1[[#This Row],[UnitPrice]]</calculatedColumnFormula>
    </tableColumn>
    <tableColumn id="14" xr3:uid="{51B480D5-F4FD-4D5E-BC08-5E902796A213}" name="Discount Amount" dataDxfId="5">
      <calculatedColumnFormula>Table1[[#This Row],[Gross sales]]*Table1[[#This Row],[Discount]]</calculatedColumnFormula>
    </tableColumn>
    <tableColumn id="15" xr3:uid="{2FE779DB-F07C-4CD1-A9B5-432AFADB5A36}" name="Net Sales" dataDxfId="4">
      <calculatedColumnFormula>Table1[[#This Row],[Gross sales]]-Table1[[#This Row],[Discount Amount]]</calculatedColumnFormula>
    </tableColumn>
    <tableColumn id="16" xr3:uid="{15717614-A1A7-407E-9949-AB348DF07828}" name="Order Month" dataDxfId="3">
      <calculatedColumnFormula>TEXT(Table1[[#This Row],[OrderDate]],"mmmm")</calculatedColumnFormula>
    </tableColumn>
    <tableColumn id="17" xr3:uid="{9D4C361F-2082-498C-9C94-25750EE16BEB}" name="Order Quarter" dataDxfId="2">
      <calculatedColumnFormula>"Q" &amp; ROUNDUP(MONTH(Table1[[#This Row],[OrderDate]])/3,0)</calculatedColumnFormula>
    </tableColumn>
    <tableColumn id="18" xr3:uid="{7868F24C-3568-46DF-9402-46E752A4D444}" name="Sales Band" dataDxfId="1">
      <calculatedColumnFormula>IF(Table1[[#This Row],[Net Sales]]&gt;=30000,"High",
 IF(AND(Table1[[#This Row],[Net Sales]]&gt;=10000,Table1[[#This Row],[Net Sales]]&lt;=29999),"Medium",
 IF(Table1[[#This Row],[Net Sales]]&lt;10000,"Low","")))</calculatedColumnFormula>
    </tableColumn>
    <tableColumn id="19" xr3:uid="{54998835-DFB8-4384-A377-8EFBFC514825}" name="Profit (Assume fixed margin)" dataDxfId="0">
      <calculatedColumnFormula>Table1[[#This Row],[Net Sales]]*IF(Table1[[#This Row],[Category]]="Electronics",20%,
 IF(Table1[[#This Row],[Category]]="Accessories",35%,0))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34ADD-7572-49C4-9071-E23C97FE565C}">
  <dimension ref="A3:J10"/>
  <sheetViews>
    <sheetView topLeftCell="A13" workbookViewId="0">
      <selection activeCell="J10" sqref="J10"/>
    </sheetView>
  </sheetViews>
  <sheetFormatPr defaultRowHeight="14.5" x14ac:dyDescent="0.35"/>
  <cols>
    <col min="1" max="1" width="14.81640625" bestFit="1" customWidth="1"/>
    <col min="2" max="2" width="15.26953125" bestFit="1" customWidth="1"/>
    <col min="3" max="3" width="7.36328125" bestFit="1" customWidth="1"/>
    <col min="4" max="5" width="10" bestFit="1" customWidth="1"/>
    <col min="6" max="6" width="6.36328125" bestFit="1" customWidth="1"/>
    <col min="7" max="8" width="7.36328125" bestFit="1" customWidth="1"/>
    <col min="9" max="9" width="6.36328125" bestFit="1" customWidth="1"/>
    <col min="10" max="10" width="10.7265625" bestFit="1" customWidth="1"/>
  </cols>
  <sheetData>
    <row r="3" spans="1:10" x14ac:dyDescent="0.35">
      <c r="B3" s="7" t="s">
        <v>50</v>
      </c>
    </row>
    <row r="4" spans="1:10" x14ac:dyDescent="0.35">
      <c r="B4" t="s">
        <v>12</v>
      </c>
      <c r="D4" t="s">
        <v>27</v>
      </c>
      <c r="E4" t="s">
        <v>32</v>
      </c>
      <c r="H4" t="s">
        <v>19</v>
      </c>
      <c r="J4" t="s">
        <v>49</v>
      </c>
    </row>
    <row r="5" spans="1:10" x14ac:dyDescent="0.35">
      <c r="B5" t="s">
        <v>16</v>
      </c>
      <c r="C5" t="s">
        <v>22</v>
      </c>
      <c r="D5" t="s">
        <v>31</v>
      </c>
      <c r="E5" t="s">
        <v>31</v>
      </c>
      <c r="F5" t="s">
        <v>16</v>
      </c>
      <c r="G5" t="s">
        <v>22</v>
      </c>
      <c r="H5" t="s">
        <v>16</v>
      </c>
      <c r="I5" t="s">
        <v>22</v>
      </c>
    </row>
    <row r="6" spans="1:10" s="9" customFormat="1" x14ac:dyDescent="0.35">
      <c r="A6" s="9" t="s">
        <v>51</v>
      </c>
      <c r="B6" s="9">
        <v>37742</v>
      </c>
      <c r="C6" s="9">
        <v>21460</v>
      </c>
      <c r="D6" s="9">
        <v>31858</v>
      </c>
      <c r="E6" s="9">
        <v>35100</v>
      </c>
      <c r="F6" s="9">
        <v>3325</v>
      </c>
      <c r="G6" s="9">
        <v>17670</v>
      </c>
      <c r="H6" s="9">
        <v>34532</v>
      </c>
      <c r="I6" s="9">
        <v>6804.8</v>
      </c>
      <c r="J6" s="9">
        <v>188491.8</v>
      </c>
    </row>
    <row r="9" spans="1:10" x14ac:dyDescent="0.35">
      <c r="J9" s="9" t="str">
        <f>A6</f>
        <v>Sum of Net Sales</v>
      </c>
    </row>
    <row r="10" spans="1:10" x14ac:dyDescent="0.35">
      <c r="B10" s="9"/>
      <c r="C10" s="9"/>
      <c r="D10" s="9"/>
      <c r="E10" s="9"/>
      <c r="F10" s="9"/>
      <c r="G10" s="9"/>
      <c r="H10" s="9"/>
      <c r="I10" s="9"/>
      <c r="J10" s="9">
        <f>J6</f>
        <v>188491.8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0032-E2FA-4B64-A39C-506AD96ECA11}">
  <dimension ref="A3:B6"/>
  <sheetViews>
    <sheetView workbookViewId="0">
      <selection activeCell="J12" sqref="J12"/>
    </sheetView>
  </sheetViews>
  <sheetFormatPr defaultRowHeight="14.5" x14ac:dyDescent="0.35"/>
  <cols>
    <col min="1" max="1" width="12.36328125" bestFit="1" customWidth="1"/>
    <col min="2" max="2" width="31.36328125" bestFit="1" customWidth="1"/>
    <col min="3" max="3" width="9.81640625" bestFit="1" customWidth="1"/>
    <col min="4" max="4" width="10.7265625" bestFit="1" customWidth="1"/>
  </cols>
  <sheetData>
    <row r="3" spans="1:2" x14ac:dyDescent="0.35">
      <c r="A3" s="7" t="s">
        <v>48</v>
      </c>
      <c r="B3" t="s">
        <v>52</v>
      </c>
    </row>
    <row r="4" spans="1:2" x14ac:dyDescent="0.35">
      <c r="A4" s="8" t="s">
        <v>24</v>
      </c>
      <c r="B4" s="10">
        <v>0.1422941352736207</v>
      </c>
    </row>
    <row r="5" spans="1:2" x14ac:dyDescent="0.35">
      <c r="A5" s="8" t="s">
        <v>18</v>
      </c>
      <c r="B5" s="10">
        <v>0.85770586472637922</v>
      </c>
    </row>
    <row r="6" spans="1:2" x14ac:dyDescent="0.35">
      <c r="A6" s="8" t="s">
        <v>49</v>
      </c>
      <c r="B6" s="10">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8E712-070E-432B-832D-D2DC22F2DBA8}">
  <dimension ref="A1:C10"/>
  <sheetViews>
    <sheetView topLeftCell="A2" workbookViewId="0">
      <selection activeCell="J22" sqref="J22"/>
    </sheetView>
  </sheetViews>
  <sheetFormatPr defaultRowHeight="14.5" x14ac:dyDescent="0.35"/>
  <cols>
    <col min="1" max="1" width="12.36328125" bestFit="1" customWidth="1"/>
    <col min="2" max="2" width="14.81640625" style="9" bestFit="1" customWidth="1"/>
    <col min="3" max="3" width="31.36328125" style="9" bestFit="1" customWidth="1"/>
  </cols>
  <sheetData>
    <row r="1" spans="1:3" x14ac:dyDescent="0.35">
      <c r="A1" s="7" t="s">
        <v>3</v>
      </c>
      <c r="B1" t="s" vm="1">
        <v>53</v>
      </c>
    </row>
    <row r="2" spans="1:3" x14ac:dyDescent="0.35">
      <c r="A2" s="7" t="s">
        <v>6</v>
      </c>
      <c r="B2" t="s" vm="2">
        <v>53</v>
      </c>
    </row>
    <row r="4" spans="1:3" x14ac:dyDescent="0.35">
      <c r="A4" s="7" t="s">
        <v>48</v>
      </c>
      <c r="B4" s="9" t="s">
        <v>51</v>
      </c>
      <c r="C4" s="9" t="s">
        <v>52</v>
      </c>
    </row>
    <row r="5" spans="1:3" x14ac:dyDescent="0.35">
      <c r="A5" s="8" t="s">
        <v>15</v>
      </c>
      <c r="B5" s="9">
        <v>38750</v>
      </c>
      <c r="C5" s="9">
        <v>8290</v>
      </c>
    </row>
    <row r="6" spans="1:3" x14ac:dyDescent="0.35">
      <c r="A6" s="8" t="s">
        <v>35</v>
      </c>
      <c r="B6" s="9">
        <v>56095</v>
      </c>
      <c r="C6" s="9">
        <v>11717.75</v>
      </c>
    </row>
    <row r="7" spans="1:3" x14ac:dyDescent="0.35">
      <c r="A7" s="8" t="s">
        <v>25</v>
      </c>
      <c r="B7" s="9">
        <v>20452</v>
      </c>
      <c r="C7" s="9">
        <v>4479.2</v>
      </c>
    </row>
    <row r="8" spans="1:3" x14ac:dyDescent="0.35">
      <c r="A8" s="8" t="s">
        <v>30</v>
      </c>
      <c r="B8" s="9">
        <v>31858</v>
      </c>
      <c r="C8" s="9">
        <v>6371.6</v>
      </c>
    </row>
    <row r="9" spans="1:3" x14ac:dyDescent="0.35">
      <c r="A9" s="8" t="s">
        <v>21</v>
      </c>
      <c r="B9" s="9">
        <v>41336.800000000003</v>
      </c>
      <c r="C9" s="9">
        <v>9288.08</v>
      </c>
    </row>
    <row r="10" spans="1:3" x14ac:dyDescent="0.35">
      <c r="A10" s="8" t="s">
        <v>49</v>
      </c>
      <c r="B10" s="9">
        <v>188491.8</v>
      </c>
      <c r="C10" s="9">
        <v>40146.630000000005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69F1-CAA4-488F-82B2-3E6D00E2D52C}">
  <dimension ref="A1:B16"/>
  <sheetViews>
    <sheetView workbookViewId="0">
      <selection activeCell="I20" sqref="I20"/>
    </sheetView>
  </sheetViews>
  <sheetFormatPr defaultRowHeight="14.5" x14ac:dyDescent="0.35"/>
  <cols>
    <col min="1" max="1" width="12.7265625" bestFit="1" customWidth="1"/>
    <col min="2" max="2" width="14.81640625" style="9" bestFit="1" customWidth="1"/>
  </cols>
  <sheetData>
    <row r="1" spans="1:2" x14ac:dyDescent="0.35">
      <c r="A1" s="7" t="s">
        <v>45</v>
      </c>
      <c r="B1" s="9" t="s" vm="3">
        <v>53</v>
      </c>
    </row>
    <row r="3" spans="1:2" x14ac:dyDescent="0.35">
      <c r="A3" s="7" t="s">
        <v>48</v>
      </c>
      <c r="B3" s="9" t="s">
        <v>51</v>
      </c>
    </row>
    <row r="4" spans="1:2" x14ac:dyDescent="0.35">
      <c r="A4" s="8" t="s">
        <v>54</v>
      </c>
      <c r="B4" s="9">
        <v>19530</v>
      </c>
    </row>
    <row r="5" spans="1:2" x14ac:dyDescent="0.35">
      <c r="A5" s="8" t="s">
        <v>55</v>
      </c>
      <c r="B5" s="9">
        <v>12328</v>
      </c>
    </row>
    <row r="6" spans="1:2" x14ac:dyDescent="0.35">
      <c r="A6" s="8" t="s">
        <v>56</v>
      </c>
      <c r="B6" s="9">
        <v>35100</v>
      </c>
    </row>
    <row r="7" spans="1:2" x14ac:dyDescent="0.35">
      <c r="A7" s="8" t="s">
        <v>57</v>
      </c>
      <c r="B7" s="9">
        <v>3120</v>
      </c>
    </row>
    <row r="8" spans="1:2" x14ac:dyDescent="0.35">
      <c r="A8" s="8" t="s">
        <v>58</v>
      </c>
      <c r="B8" s="9">
        <v>35150</v>
      </c>
    </row>
    <row r="9" spans="1:2" x14ac:dyDescent="0.35">
      <c r="A9" s="8" t="s">
        <v>59</v>
      </c>
      <c r="B9" s="9">
        <v>3600</v>
      </c>
    </row>
    <row r="10" spans="1:2" x14ac:dyDescent="0.35">
      <c r="A10" s="8" t="s">
        <v>60</v>
      </c>
      <c r="B10" s="9">
        <v>34532</v>
      </c>
    </row>
    <row r="11" spans="1:2" x14ac:dyDescent="0.35">
      <c r="A11" s="8" t="s">
        <v>61</v>
      </c>
      <c r="B11" s="9">
        <v>2592</v>
      </c>
    </row>
    <row r="12" spans="1:2" x14ac:dyDescent="0.35">
      <c r="A12" s="8" t="s">
        <v>62</v>
      </c>
      <c r="B12" s="9">
        <v>17670</v>
      </c>
    </row>
    <row r="13" spans="1:2" x14ac:dyDescent="0.35">
      <c r="A13" s="8" t="s">
        <v>63</v>
      </c>
      <c r="B13" s="9">
        <v>3684.8</v>
      </c>
    </row>
    <row r="14" spans="1:2" x14ac:dyDescent="0.35">
      <c r="A14" s="8" t="s">
        <v>64</v>
      </c>
      <c r="B14" s="9">
        <v>17860</v>
      </c>
    </row>
    <row r="15" spans="1:2" x14ac:dyDescent="0.35">
      <c r="A15" s="8" t="s">
        <v>65</v>
      </c>
      <c r="B15" s="9">
        <v>3325</v>
      </c>
    </row>
    <row r="16" spans="1:2" x14ac:dyDescent="0.35">
      <c r="A16" s="8" t="s">
        <v>49</v>
      </c>
      <c r="B16" s="9">
        <v>188491.8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E29C5-4883-4430-8AC4-0DCC7B42649F}">
  <dimension ref="A3:C7"/>
  <sheetViews>
    <sheetView tabSelected="1" topLeftCell="A2" workbookViewId="0">
      <selection activeCell="L13" sqref="L13"/>
    </sheetView>
  </sheetViews>
  <sheetFormatPr defaultRowHeight="14.5" x14ac:dyDescent="0.35"/>
  <cols>
    <col min="1" max="1" width="12.36328125" bestFit="1" customWidth="1"/>
    <col min="2" max="2" width="15.36328125" bestFit="1" customWidth="1"/>
    <col min="3" max="3" width="14.81640625" bestFit="1" customWidth="1"/>
  </cols>
  <sheetData>
    <row r="3" spans="1:3" x14ac:dyDescent="0.35">
      <c r="A3" s="7" t="s">
        <v>48</v>
      </c>
      <c r="B3" t="s">
        <v>69</v>
      </c>
      <c r="C3" t="s">
        <v>51</v>
      </c>
    </row>
    <row r="4" spans="1:3" x14ac:dyDescent="0.35">
      <c r="A4" s="8" t="s">
        <v>66</v>
      </c>
      <c r="B4" s="6">
        <v>3</v>
      </c>
      <c r="C4" s="6">
        <v>104782</v>
      </c>
    </row>
    <row r="5" spans="1:3" x14ac:dyDescent="0.35">
      <c r="A5" s="8" t="s">
        <v>67</v>
      </c>
      <c r="B5" s="6">
        <v>5</v>
      </c>
      <c r="C5" s="6">
        <v>16321.8</v>
      </c>
    </row>
    <row r="6" spans="1:3" x14ac:dyDescent="0.35">
      <c r="A6" s="8" t="s">
        <v>68</v>
      </c>
      <c r="B6" s="6">
        <v>4</v>
      </c>
      <c r="C6" s="6">
        <v>67388</v>
      </c>
    </row>
    <row r="7" spans="1:3" x14ac:dyDescent="0.35">
      <c r="A7" s="8" t="s">
        <v>49</v>
      </c>
      <c r="B7" s="6">
        <v>12</v>
      </c>
      <c r="C7" s="6">
        <v>188491.8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C64C-F377-4EBF-811D-70C8CE0D03FF}">
  <dimension ref="A1:AH1"/>
  <sheetViews>
    <sheetView showGridLines="0" zoomScale="66" zoomScaleNormal="66" workbookViewId="0">
      <selection activeCell="Q10" sqref="Q10"/>
    </sheetView>
  </sheetViews>
  <sheetFormatPr defaultRowHeight="14.5" x14ac:dyDescent="0.35"/>
  <cols>
    <col min="1" max="1" width="27.453125" style="11" customWidth="1"/>
    <col min="2" max="34" width="8.7265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95BCB-5D49-4963-A324-35E7DA44218F}">
  <dimension ref="A3:C8"/>
  <sheetViews>
    <sheetView workbookViewId="0">
      <selection activeCell="C3" sqref="C3"/>
    </sheetView>
  </sheetViews>
  <sheetFormatPr defaultRowHeight="14.5" x14ac:dyDescent="0.35"/>
  <cols>
    <col min="1" max="1" width="14.81640625" bestFit="1" customWidth="1"/>
    <col min="2" max="2" width="31.36328125" bestFit="1" customWidth="1"/>
    <col min="3" max="3" width="13.90625" bestFit="1" customWidth="1"/>
  </cols>
  <sheetData>
    <row r="3" spans="1:3" x14ac:dyDescent="0.35">
      <c r="A3" t="s">
        <v>51</v>
      </c>
      <c r="B3" t="s">
        <v>52</v>
      </c>
      <c r="C3" t="s">
        <v>70</v>
      </c>
    </row>
    <row r="4" spans="1:3" s="13" customFormat="1" x14ac:dyDescent="0.35">
      <c r="A4" s="13">
        <v>188491.8</v>
      </c>
      <c r="B4" s="13">
        <v>40146.630000000005</v>
      </c>
      <c r="C4" s="13">
        <v>24078</v>
      </c>
    </row>
    <row r="7" spans="1:3" x14ac:dyDescent="0.35">
      <c r="A7" t="str">
        <f>A3</f>
        <v>Sum of Net Sales</v>
      </c>
      <c r="B7" t="str">
        <f t="shared" ref="B7" si="0">B3</f>
        <v>Sum of Profit (Assume fixed margin)</v>
      </c>
      <c r="C7" t="str">
        <f>C3</f>
        <v>Sum of OrderID</v>
      </c>
    </row>
    <row r="8" spans="1:3" x14ac:dyDescent="0.35">
      <c r="A8" s="13">
        <f>A4</f>
        <v>188491.8</v>
      </c>
      <c r="B8" s="13">
        <f t="shared" ref="B8:C8" si="1">B4</f>
        <v>40146.630000000005</v>
      </c>
      <c r="C8" s="13">
        <f t="shared" si="1"/>
        <v>24078</v>
      </c>
    </row>
  </sheetData>
  <pageMargins left="0.7" right="0.7" top="0.75" bottom="0.75" header="0.3" footer="0.3"/>
  <pageSetup paperSize="9" orientation="portrait" horizontalDpi="4294967295" verticalDpi="4294967295"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
  <sheetViews>
    <sheetView workbookViewId="0">
      <selection activeCell="A2" sqref="A2:S13"/>
    </sheetView>
  </sheetViews>
  <sheetFormatPr defaultRowHeight="14.5" x14ac:dyDescent="0.35"/>
  <cols>
    <col min="1" max="1" width="11.08984375" customWidth="1"/>
    <col min="2" max="2" width="13.08984375" customWidth="1"/>
    <col min="3" max="3" width="9.36328125" customWidth="1"/>
    <col min="4" max="4" width="10.6328125" customWidth="1"/>
    <col min="6" max="6" width="13.81640625" customWidth="1"/>
    <col min="7" max="7" width="10.6328125" customWidth="1"/>
    <col min="8" max="8" width="10.36328125" customWidth="1"/>
    <col min="9" max="9" width="11.453125" customWidth="1"/>
    <col min="10" max="10" width="11.81640625" customWidth="1"/>
    <col min="11" max="11" width="11.90625" customWidth="1"/>
    <col min="12" max="12" width="11" customWidth="1"/>
    <col min="19" max="19" width="9.81640625" bestFit="1" customWidth="1"/>
  </cols>
  <sheetData>
    <row r="1" spans="1:19" ht="60" x14ac:dyDescent="0.35">
      <c r="A1" s="1" t="s">
        <v>0</v>
      </c>
      <c r="B1" s="1" t="s">
        <v>1</v>
      </c>
      <c r="C1" s="1" t="s">
        <v>2</v>
      </c>
      <c r="D1" s="1" t="s">
        <v>3</v>
      </c>
      <c r="E1" s="1" t="s">
        <v>4</v>
      </c>
      <c r="F1" s="1" t="s">
        <v>5</v>
      </c>
      <c r="G1" s="1" t="s">
        <v>6</v>
      </c>
      <c r="H1" s="1" t="s">
        <v>7</v>
      </c>
      <c r="I1" s="1" t="s">
        <v>8</v>
      </c>
      <c r="J1" s="1" t="s">
        <v>9</v>
      </c>
      <c r="K1" s="1" t="s">
        <v>10</v>
      </c>
      <c r="L1" s="1" t="s">
        <v>11</v>
      </c>
      <c r="M1" s="1" t="s">
        <v>41</v>
      </c>
      <c r="N1" s="1" t="s">
        <v>42</v>
      </c>
      <c r="O1" s="1" t="s">
        <v>43</v>
      </c>
      <c r="P1" s="1" t="s">
        <v>44</v>
      </c>
      <c r="Q1" s="1" t="s">
        <v>45</v>
      </c>
      <c r="R1" s="1" t="s">
        <v>46</v>
      </c>
      <c r="S1" s="1" t="s">
        <v>47</v>
      </c>
    </row>
    <row r="2" spans="1:19" ht="15.5" x14ac:dyDescent="0.35">
      <c r="A2" s="2">
        <v>2001</v>
      </c>
      <c r="B2" s="3">
        <v>45658</v>
      </c>
      <c r="C2" s="2" t="s">
        <v>12</v>
      </c>
      <c r="D2" s="2" t="s">
        <v>13</v>
      </c>
      <c r="E2" s="2" t="s">
        <v>14</v>
      </c>
      <c r="F2" s="2" t="s">
        <v>15</v>
      </c>
      <c r="G2" s="2" t="s">
        <v>16</v>
      </c>
      <c r="H2" s="2" t="s">
        <v>17</v>
      </c>
      <c r="I2" s="2" t="s">
        <v>18</v>
      </c>
      <c r="J2" s="2">
        <v>2</v>
      </c>
      <c r="K2" s="2">
        <v>18500</v>
      </c>
      <c r="L2" s="4">
        <v>0.05</v>
      </c>
      <c r="M2" s="2">
        <f>Table1[[#This Row],[UnitsSold]]*Table1[[#This Row],[UnitPrice]]</f>
        <v>37000</v>
      </c>
      <c r="N2" s="2">
        <f>Table1[[#This Row],[Gross sales]]*Table1[[#This Row],[Discount]]</f>
        <v>1850</v>
      </c>
      <c r="O2" s="2">
        <f>Table1[[#This Row],[Gross sales]]-Table1[[#This Row],[Discount Amount]]</f>
        <v>35150</v>
      </c>
      <c r="P2" s="5" t="str">
        <f>TEXT(Table1[[#This Row],[OrderDate]],"mmmm")</f>
        <v>January</v>
      </c>
      <c r="Q2" s="5" t="str">
        <f>"Q" &amp; ROUNDUP(MONTH(Table1[[#This Row],[OrderDate]])/3,0)</f>
        <v>Q1</v>
      </c>
      <c r="R2" s="5" t="str">
        <f>IF(Table1[[#This Row],[Net Sales]]&gt;=30000,"High",
 IF(AND(Table1[[#This Row],[Net Sales]]&gt;=10000,Table1[[#This Row],[Net Sales]]&lt;=29999),"Medium",
 IF(Table1[[#This Row],[Net Sales]]&lt;10000,"Low","")))</f>
        <v>High</v>
      </c>
      <c r="S2" s="5">
        <f>Table1[[#This Row],[Net Sales]]*IF(Table1[[#This Row],[Category]]="Electronics",20%,
 IF(Table1[[#This Row],[Category]]="Accessories",35%,0))</f>
        <v>7030</v>
      </c>
    </row>
    <row r="3" spans="1:19" ht="15.5" x14ac:dyDescent="0.35">
      <c r="A3" s="2">
        <v>2002</v>
      </c>
      <c r="B3" s="3">
        <v>45689</v>
      </c>
      <c r="C3" s="2" t="s">
        <v>19</v>
      </c>
      <c r="D3" s="2" t="s">
        <v>13</v>
      </c>
      <c r="E3" s="2" t="s">
        <v>20</v>
      </c>
      <c r="F3" s="2" t="s">
        <v>21</v>
      </c>
      <c r="G3" s="2" t="s">
        <v>22</v>
      </c>
      <c r="H3" s="2" t="s">
        <v>23</v>
      </c>
      <c r="I3" s="2" t="s">
        <v>24</v>
      </c>
      <c r="J3" s="2">
        <v>12</v>
      </c>
      <c r="K3" s="2">
        <v>260</v>
      </c>
      <c r="L3" s="4">
        <v>0</v>
      </c>
      <c r="M3" s="2">
        <f>Table1[[#This Row],[UnitsSold]]*Table1[[#This Row],[UnitPrice]]</f>
        <v>3120</v>
      </c>
      <c r="N3" s="2">
        <f>Table1[[#This Row],[Gross sales]]*Table1[[#This Row],[Discount]]</f>
        <v>0</v>
      </c>
      <c r="O3" s="2">
        <f>Table1[[#This Row],[Gross sales]]-Table1[[#This Row],[Discount Amount]]</f>
        <v>3120</v>
      </c>
      <c r="P3" s="5" t="str">
        <f>TEXT(Table1[[#This Row],[OrderDate]],"mmmm")</f>
        <v>February</v>
      </c>
      <c r="Q3" s="5" t="str">
        <f>"Q" &amp; ROUNDUP(MONTH(Table1[[#This Row],[OrderDate]])/3,0)</f>
        <v>Q1</v>
      </c>
      <c r="R3" s="5" t="str">
        <f>IF(Table1[[#This Row],[Net Sales]]&gt;=30000,"High",
 IF(AND(Table1[[#This Row],[Net Sales]]&gt;=10000,Table1[[#This Row],[Net Sales]]&lt;=29999),"Medium",
 IF(Table1[[#This Row],[Net Sales]]&lt;10000,"Low","")))</f>
        <v>Low</v>
      </c>
      <c r="S3" s="5">
        <f>Table1[[#This Row],[Net Sales]]*IF(Table1[[#This Row],[Category]]="Electronics",20%,
 IF(Table1[[#This Row],[Category]]="Accessories",35%,0))</f>
        <v>1092</v>
      </c>
    </row>
    <row r="4" spans="1:19" ht="15.5" x14ac:dyDescent="0.35">
      <c r="A4" s="2">
        <v>2003</v>
      </c>
      <c r="B4" s="3">
        <v>45717</v>
      </c>
      <c r="C4" s="2" t="s">
        <v>12</v>
      </c>
      <c r="D4" s="2" t="s">
        <v>13</v>
      </c>
      <c r="E4" s="2" t="s">
        <v>14</v>
      </c>
      <c r="F4" s="2" t="s">
        <v>25</v>
      </c>
      <c r="G4" s="2" t="s">
        <v>16</v>
      </c>
      <c r="H4" s="2" t="s">
        <v>26</v>
      </c>
      <c r="I4" s="2" t="s">
        <v>24</v>
      </c>
      <c r="J4" s="2">
        <v>6</v>
      </c>
      <c r="K4" s="2">
        <v>480</v>
      </c>
      <c r="L4" s="4">
        <v>0.1</v>
      </c>
      <c r="M4" s="2">
        <f>Table1[[#This Row],[UnitsSold]]*Table1[[#This Row],[UnitPrice]]</f>
        <v>2880</v>
      </c>
      <c r="N4" s="2">
        <f>Table1[[#This Row],[Gross sales]]*Table1[[#This Row],[Discount]]</f>
        <v>288</v>
      </c>
      <c r="O4" s="2">
        <f>Table1[[#This Row],[Gross sales]]-Table1[[#This Row],[Discount Amount]]</f>
        <v>2592</v>
      </c>
      <c r="P4" s="5" t="str">
        <f>TEXT(Table1[[#This Row],[OrderDate]],"mmmm")</f>
        <v>March</v>
      </c>
      <c r="Q4" s="5" t="str">
        <f>"Q" &amp; ROUNDUP(MONTH(Table1[[#This Row],[OrderDate]])/3,0)</f>
        <v>Q1</v>
      </c>
      <c r="R4" s="5" t="str">
        <f>IF(Table1[[#This Row],[Net Sales]]&gt;=30000,"High",
 IF(AND(Table1[[#This Row],[Net Sales]]&gt;=10000,Table1[[#This Row],[Net Sales]]&lt;=29999),"Medium",
 IF(Table1[[#This Row],[Net Sales]]&lt;10000,"Low","")))</f>
        <v>Low</v>
      </c>
      <c r="S4" s="5">
        <f>Table1[[#This Row],[Net Sales]]*IF(Table1[[#This Row],[Category]]="Electronics",20%,
 IF(Table1[[#This Row],[Category]]="Accessories",35%,0))</f>
        <v>907.19999999999993</v>
      </c>
    </row>
    <row r="5" spans="1:19" ht="15.5" x14ac:dyDescent="0.35">
      <c r="A5" s="2">
        <v>2004</v>
      </c>
      <c r="B5" s="3">
        <v>45748</v>
      </c>
      <c r="C5" s="2" t="s">
        <v>27</v>
      </c>
      <c r="D5" s="2" t="s">
        <v>28</v>
      </c>
      <c r="E5" s="2" t="s">
        <v>29</v>
      </c>
      <c r="F5" s="2" t="s">
        <v>30</v>
      </c>
      <c r="G5" s="2" t="s">
        <v>31</v>
      </c>
      <c r="H5" s="2" t="s">
        <v>17</v>
      </c>
      <c r="I5" s="2" t="s">
        <v>18</v>
      </c>
      <c r="J5" s="2">
        <v>1</v>
      </c>
      <c r="K5" s="2">
        <v>21000</v>
      </c>
      <c r="L5" s="4">
        <v>7.0000000000000007E-2</v>
      </c>
      <c r="M5" s="2">
        <f>Table1[[#This Row],[UnitsSold]]*Table1[[#This Row],[UnitPrice]]</f>
        <v>21000</v>
      </c>
      <c r="N5" s="2">
        <f>Table1[[#This Row],[Gross sales]]*Table1[[#This Row],[Discount]]</f>
        <v>1470.0000000000002</v>
      </c>
      <c r="O5" s="2">
        <f>Table1[[#This Row],[Gross sales]]-Table1[[#This Row],[Discount Amount]]</f>
        <v>19530</v>
      </c>
      <c r="P5" s="5" t="str">
        <f>TEXT(Table1[[#This Row],[OrderDate]],"mmmm")</f>
        <v>April</v>
      </c>
      <c r="Q5" s="5" t="str">
        <f>"Q" &amp; ROUNDUP(MONTH(Table1[[#This Row],[OrderDate]])/3,0)</f>
        <v>Q2</v>
      </c>
      <c r="R5" s="5" t="str">
        <f>IF(Table1[[#This Row],[Net Sales]]&gt;=30000,"High",
 IF(AND(Table1[[#This Row],[Net Sales]]&gt;=10000,Table1[[#This Row],[Net Sales]]&lt;=29999),"Medium",
 IF(Table1[[#This Row],[Net Sales]]&lt;10000,"Low","")))</f>
        <v>Medium</v>
      </c>
      <c r="S5" s="5">
        <f>Table1[[#This Row],[Net Sales]]*IF(Table1[[#This Row],[Category]]="Electronics",20%,
 IF(Table1[[#This Row],[Category]]="Accessories",35%,0))</f>
        <v>3906</v>
      </c>
    </row>
    <row r="6" spans="1:19" ht="15.5" x14ac:dyDescent="0.35">
      <c r="A6" s="2">
        <v>2005</v>
      </c>
      <c r="B6" s="3">
        <v>45778</v>
      </c>
      <c r="C6" s="2" t="s">
        <v>32</v>
      </c>
      <c r="D6" s="2" t="s">
        <v>33</v>
      </c>
      <c r="E6" s="2" t="s">
        <v>34</v>
      </c>
      <c r="F6" s="2" t="s">
        <v>35</v>
      </c>
      <c r="G6" s="2" t="s">
        <v>22</v>
      </c>
      <c r="H6" s="2" t="s">
        <v>36</v>
      </c>
      <c r="I6" s="2" t="s">
        <v>18</v>
      </c>
      <c r="J6" s="2">
        <v>3</v>
      </c>
      <c r="K6" s="2">
        <v>6200</v>
      </c>
      <c r="L6" s="4">
        <v>0.05</v>
      </c>
      <c r="M6" s="2">
        <f>Table1[[#This Row],[UnitsSold]]*Table1[[#This Row],[UnitPrice]]</f>
        <v>18600</v>
      </c>
      <c r="N6" s="2">
        <f>Table1[[#This Row],[Gross sales]]*Table1[[#This Row],[Discount]]</f>
        <v>930</v>
      </c>
      <c r="O6" s="2">
        <f>Table1[[#This Row],[Gross sales]]-Table1[[#This Row],[Discount Amount]]</f>
        <v>17670</v>
      </c>
      <c r="P6" s="5" t="str">
        <f>TEXT(Table1[[#This Row],[OrderDate]],"mmmm")</f>
        <v>May</v>
      </c>
      <c r="Q6" s="5" t="str">
        <f>"Q" &amp; ROUNDUP(MONTH(Table1[[#This Row],[OrderDate]])/3,0)</f>
        <v>Q2</v>
      </c>
      <c r="R6" s="5" t="str">
        <f>IF(Table1[[#This Row],[Net Sales]]&gt;=30000,"High",
 IF(AND(Table1[[#This Row],[Net Sales]]&gt;=10000,Table1[[#This Row],[Net Sales]]&lt;=29999),"Medium",
 IF(Table1[[#This Row],[Net Sales]]&lt;10000,"Low","")))</f>
        <v>Medium</v>
      </c>
      <c r="S6" s="5">
        <f>Table1[[#This Row],[Net Sales]]*IF(Table1[[#This Row],[Category]]="Electronics",20%,
 IF(Table1[[#This Row],[Category]]="Accessories",35%,0))</f>
        <v>3534</v>
      </c>
    </row>
    <row r="7" spans="1:19" ht="15.5" x14ac:dyDescent="0.35">
      <c r="A7" s="2">
        <v>2006</v>
      </c>
      <c r="B7" s="3">
        <v>45809</v>
      </c>
      <c r="C7" s="2" t="s">
        <v>19</v>
      </c>
      <c r="D7" s="2" t="s">
        <v>13</v>
      </c>
      <c r="E7" s="2" t="s">
        <v>20</v>
      </c>
      <c r="F7" s="2" t="s">
        <v>21</v>
      </c>
      <c r="G7" s="2" t="s">
        <v>16</v>
      </c>
      <c r="H7" s="2" t="s">
        <v>17</v>
      </c>
      <c r="I7" s="2" t="s">
        <v>18</v>
      </c>
      <c r="J7" s="2">
        <v>2</v>
      </c>
      <c r="K7" s="2">
        <v>17800</v>
      </c>
      <c r="L7" s="4">
        <v>0.03</v>
      </c>
      <c r="M7" s="2">
        <f>Table1[[#This Row],[UnitsSold]]*Table1[[#This Row],[UnitPrice]]</f>
        <v>35600</v>
      </c>
      <c r="N7" s="2">
        <f>Table1[[#This Row],[Gross sales]]*Table1[[#This Row],[Discount]]</f>
        <v>1068</v>
      </c>
      <c r="O7" s="2">
        <f>Table1[[#This Row],[Gross sales]]-Table1[[#This Row],[Discount Amount]]</f>
        <v>34532</v>
      </c>
      <c r="P7" s="5" t="str">
        <f>TEXT(Table1[[#This Row],[OrderDate]],"mmmm")</f>
        <v>June</v>
      </c>
      <c r="Q7" s="5" t="str">
        <f>"Q" &amp; ROUNDUP(MONTH(Table1[[#This Row],[OrderDate]])/3,0)</f>
        <v>Q2</v>
      </c>
      <c r="R7" s="5" t="str">
        <f>IF(Table1[[#This Row],[Net Sales]]&gt;=30000,"High",
 IF(AND(Table1[[#This Row],[Net Sales]]&gt;=10000,Table1[[#This Row],[Net Sales]]&lt;=29999),"Medium",
 IF(Table1[[#This Row],[Net Sales]]&lt;10000,"Low","")))</f>
        <v>High</v>
      </c>
      <c r="S7" s="5">
        <f>Table1[[#This Row],[Net Sales]]*IF(Table1[[#This Row],[Category]]="Electronics",20%,
 IF(Table1[[#This Row],[Category]]="Accessories",35%,0))</f>
        <v>6906.4000000000005</v>
      </c>
    </row>
    <row r="8" spans="1:19" ht="15.5" x14ac:dyDescent="0.35">
      <c r="A8" s="2">
        <v>2007</v>
      </c>
      <c r="B8" s="3">
        <v>45839</v>
      </c>
      <c r="C8" s="2" t="s">
        <v>12</v>
      </c>
      <c r="D8" s="2" t="s">
        <v>13</v>
      </c>
      <c r="E8" s="2" t="s">
        <v>37</v>
      </c>
      <c r="F8" s="2" t="s">
        <v>15</v>
      </c>
      <c r="G8" s="2" t="s">
        <v>22</v>
      </c>
      <c r="H8" s="2" t="s">
        <v>23</v>
      </c>
      <c r="I8" s="2" t="s">
        <v>24</v>
      </c>
      <c r="J8" s="2">
        <v>15</v>
      </c>
      <c r="K8" s="2">
        <v>240</v>
      </c>
      <c r="L8" s="4">
        <v>0</v>
      </c>
      <c r="M8" s="2">
        <f>Table1[[#This Row],[UnitsSold]]*Table1[[#This Row],[UnitPrice]]</f>
        <v>3600</v>
      </c>
      <c r="N8" s="2">
        <f>Table1[[#This Row],[Gross sales]]*Table1[[#This Row],[Discount]]</f>
        <v>0</v>
      </c>
      <c r="O8" s="2">
        <f>Table1[[#This Row],[Gross sales]]-Table1[[#This Row],[Discount Amount]]</f>
        <v>3600</v>
      </c>
      <c r="P8" s="5" t="str">
        <f>TEXT(Table1[[#This Row],[OrderDate]],"mmmm")</f>
        <v>July</v>
      </c>
      <c r="Q8" s="5" t="str">
        <f>"Q" &amp; ROUNDUP(MONTH(Table1[[#This Row],[OrderDate]])/3,0)</f>
        <v>Q3</v>
      </c>
      <c r="R8" s="5" t="str">
        <f>IF(Table1[[#This Row],[Net Sales]]&gt;=30000,"High",
 IF(AND(Table1[[#This Row],[Net Sales]]&gt;=10000,Table1[[#This Row],[Net Sales]]&lt;=29999),"Medium",
 IF(Table1[[#This Row],[Net Sales]]&lt;10000,"Low","")))</f>
        <v>Low</v>
      </c>
      <c r="S8" s="5">
        <f>Table1[[#This Row],[Net Sales]]*IF(Table1[[#This Row],[Category]]="Electronics",20%,
 IF(Table1[[#This Row],[Category]]="Accessories",35%,0))</f>
        <v>1260</v>
      </c>
    </row>
    <row r="9" spans="1:19" ht="15.5" x14ac:dyDescent="0.35">
      <c r="A9" s="2">
        <v>2008</v>
      </c>
      <c r="B9" s="3">
        <v>45870</v>
      </c>
      <c r="C9" s="2" t="s">
        <v>27</v>
      </c>
      <c r="D9" s="2" t="s">
        <v>28</v>
      </c>
      <c r="E9" s="2" t="s">
        <v>38</v>
      </c>
      <c r="F9" s="2" t="s">
        <v>30</v>
      </c>
      <c r="G9" s="2" t="s">
        <v>31</v>
      </c>
      <c r="H9" s="2" t="s">
        <v>36</v>
      </c>
      <c r="I9" s="2" t="s">
        <v>18</v>
      </c>
      <c r="J9" s="2">
        <v>2</v>
      </c>
      <c r="K9" s="2">
        <v>6700</v>
      </c>
      <c r="L9" s="4">
        <v>0.08</v>
      </c>
      <c r="M9" s="2">
        <f>Table1[[#This Row],[UnitsSold]]*Table1[[#This Row],[UnitPrice]]</f>
        <v>13400</v>
      </c>
      <c r="N9" s="2">
        <f>Table1[[#This Row],[Gross sales]]*Table1[[#This Row],[Discount]]</f>
        <v>1072</v>
      </c>
      <c r="O9" s="2">
        <f>Table1[[#This Row],[Gross sales]]-Table1[[#This Row],[Discount Amount]]</f>
        <v>12328</v>
      </c>
      <c r="P9" s="5" t="str">
        <f>TEXT(Table1[[#This Row],[OrderDate]],"mmmm")</f>
        <v>August</v>
      </c>
      <c r="Q9" s="5" t="str">
        <f>"Q" &amp; ROUNDUP(MONTH(Table1[[#This Row],[OrderDate]])/3,0)</f>
        <v>Q3</v>
      </c>
      <c r="R9" s="5" t="str">
        <f>IF(Table1[[#This Row],[Net Sales]]&gt;=30000,"High",
 IF(AND(Table1[[#This Row],[Net Sales]]&gt;=10000,Table1[[#This Row],[Net Sales]]&lt;=29999),"Medium",
 IF(Table1[[#This Row],[Net Sales]]&lt;10000,"Low","")))</f>
        <v>Medium</v>
      </c>
      <c r="S9" s="5">
        <f>Table1[[#This Row],[Net Sales]]*IF(Table1[[#This Row],[Category]]="Electronics",20%,
 IF(Table1[[#This Row],[Category]]="Accessories",35%,0))</f>
        <v>2465.6000000000004</v>
      </c>
    </row>
    <row r="10" spans="1:19" ht="31" x14ac:dyDescent="0.35">
      <c r="A10" s="2">
        <v>2009</v>
      </c>
      <c r="B10" s="3">
        <v>45901</v>
      </c>
      <c r="C10" s="2" t="s">
        <v>32</v>
      </c>
      <c r="D10" s="2" t="s">
        <v>33</v>
      </c>
      <c r="E10" s="2" t="s">
        <v>39</v>
      </c>
      <c r="F10" s="2" t="s">
        <v>35</v>
      </c>
      <c r="G10" s="2" t="s">
        <v>16</v>
      </c>
      <c r="H10" s="2" t="s">
        <v>26</v>
      </c>
      <c r="I10" s="2" t="s">
        <v>24</v>
      </c>
      <c r="J10" s="2">
        <v>7</v>
      </c>
      <c r="K10" s="2">
        <v>500</v>
      </c>
      <c r="L10" s="4">
        <v>0.05</v>
      </c>
      <c r="M10" s="2">
        <f>Table1[[#This Row],[UnitsSold]]*Table1[[#This Row],[UnitPrice]]</f>
        <v>3500</v>
      </c>
      <c r="N10" s="2">
        <f>Table1[[#This Row],[Gross sales]]*Table1[[#This Row],[Discount]]</f>
        <v>175</v>
      </c>
      <c r="O10" s="2">
        <f>Table1[[#This Row],[Gross sales]]-Table1[[#This Row],[Discount Amount]]</f>
        <v>3325</v>
      </c>
      <c r="P10" s="5" t="str">
        <f>TEXT(Table1[[#This Row],[OrderDate]],"mmmm")</f>
        <v>September</v>
      </c>
      <c r="Q10" s="5" t="str">
        <f>"Q" &amp; ROUNDUP(MONTH(Table1[[#This Row],[OrderDate]])/3,0)</f>
        <v>Q3</v>
      </c>
      <c r="R10" s="5" t="str">
        <f>IF(Table1[[#This Row],[Net Sales]]&gt;=30000,"High",
 IF(AND(Table1[[#This Row],[Net Sales]]&gt;=10000,Table1[[#This Row],[Net Sales]]&lt;=29999),"Medium",
 IF(Table1[[#This Row],[Net Sales]]&lt;10000,"Low","")))</f>
        <v>Low</v>
      </c>
      <c r="S10" s="5">
        <f>Table1[[#This Row],[Net Sales]]*IF(Table1[[#This Row],[Category]]="Electronics",20%,
 IF(Table1[[#This Row],[Category]]="Accessories",35%,0))</f>
        <v>1163.75</v>
      </c>
    </row>
    <row r="11" spans="1:19" ht="15.5" x14ac:dyDescent="0.35">
      <c r="A11" s="2">
        <v>2010</v>
      </c>
      <c r="B11" s="3">
        <v>45931</v>
      </c>
      <c r="C11" s="2" t="s">
        <v>12</v>
      </c>
      <c r="D11" s="2" t="s">
        <v>13</v>
      </c>
      <c r="E11" s="2" t="s">
        <v>14</v>
      </c>
      <c r="F11" s="2" t="s">
        <v>25</v>
      </c>
      <c r="G11" s="2" t="s">
        <v>22</v>
      </c>
      <c r="H11" s="2" t="s">
        <v>17</v>
      </c>
      <c r="I11" s="2" t="s">
        <v>18</v>
      </c>
      <c r="J11" s="2">
        <v>1</v>
      </c>
      <c r="K11" s="2">
        <v>19000</v>
      </c>
      <c r="L11" s="4">
        <v>0.06</v>
      </c>
      <c r="M11" s="2">
        <f>Table1[[#This Row],[UnitsSold]]*Table1[[#This Row],[UnitPrice]]</f>
        <v>19000</v>
      </c>
      <c r="N11" s="2">
        <f>Table1[[#This Row],[Gross sales]]*Table1[[#This Row],[Discount]]</f>
        <v>1140</v>
      </c>
      <c r="O11" s="2">
        <f>Table1[[#This Row],[Gross sales]]-Table1[[#This Row],[Discount Amount]]</f>
        <v>17860</v>
      </c>
      <c r="P11" s="5" t="str">
        <f>TEXT(Table1[[#This Row],[OrderDate]],"mmmm")</f>
        <v>October</v>
      </c>
      <c r="Q11" s="5" t="str">
        <f>"Q" &amp; ROUNDUP(MONTH(Table1[[#This Row],[OrderDate]])/3,0)</f>
        <v>Q4</v>
      </c>
      <c r="R11" s="5" t="str">
        <f>IF(Table1[[#This Row],[Net Sales]]&gt;=30000,"High",
 IF(AND(Table1[[#This Row],[Net Sales]]&gt;=10000,Table1[[#This Row],[Net Sales]]&lt;=29999),"Medium",
 IF(Table1[[#This Row],[Net Sales]]&lt;10000,"Low","")))</f>
        <v>Medium</v>
      </c>
      <c r="S11" s="5">
        <f>Table1[[#This Row],[Net Sales]]*IF(Table1[[#This Row],[Category]]="Electronics",20%,
 IF(Table1[[#This Row],[Category]]="Accessories",35%,0))</f>
        <v>3572</v>
      </c>
    </row>
    <row r="12" spans="1:19" ht="31" x14ac:dyDescent="0.35">
      <c r="A12" s="2">
        <v>2011</v>
      </c>
      <c r="B12" s="3">
        <v>45962</v>
      </c>
      <c r="C12" s="2" t="s">
        <v>19</v>
      </c>
      <c r="D12" s="2" t="s">
        <v>13</v>
      </c>
      <c r="E12" s="2" t="s">
        <v>40</v>
      </c>
      <c r="F12" s="2" t="s">
        <v>21</v>
      </c>
      <c r="G12" s="2" t="s">
        <v>22</v>
      </c>
      <c r="H12" s="2" t="s">
        <v>26</v>
      </c>
      <c r="I12" s="2" t="s">
        <v>24</v>
      </c>
      <c r="J12" s="2">
        <v>8</v>
      </c>
      <c r="K12" s="2">
        <v>470</v>
      </c>
      <c r="L12" s="4">
        <v>0.02</v>
      </c>
      <c r="M12" s="2">
        <f>Table1[[#This Row],[UnitsSold]]*Table1[[#This Row],[UnitPrice]]</f>
        <v>3760</v>
      </c>
      <c r="N12" s="2">
        <f>Table1[[#This Row],[Gross sales]]*Table1[[#This Row],[Discount]]</f>
        <v>75.2</v>
      </c>
      <c r="O12" s="2">
        <f>Table1[[#This Row],[Gross sales]]-Table1[[#This Row],[Discount Amount]]</f>
        <v>3684.8</v>
      </c>
      <c r="P12" s="5" t="str">
        <f>TEXT(Table1[[#This Row],[OrderDate]],"mmmm")</f>
        <v>November</v>
      </c>
      <c r="Q12" s="5" t="str">
        <f>"Q" &amp; ROUNDUP(MONTH(Table1[[#This Row],[OrderDate]])/3,0)</f>
        <v>Q4</v>
      </c>
      <c r="R12" s="5" t="str">
        <f>IF(Table1[[#This Row],[Net Sales]]&gt;=30000,"High",
 IF(AND(Table1[[#This Row],[Net Sales]]&gt;=10000,Table1[[#This Row],[Net Sales]]&lt;=29999),"Medium",
 IF(Table1[[#This Row],[Net Sales]]&lt;10000,"Low","")))</f>
        <v>Low</v>
      </c>
      <c r="S12" s="5">
        <f>Table1[[#This Row],[Net Sales]]*IF(Table1[[#This Row],[Category]]="Electronics",20%,
 IF(Table1[[#This Row],[Category]]="Accessories",35%,0))</f>
        <v>1289.68</v>
      </c>
    </row>
    <row r="13" spans="1:19" ht="31" x14ac:dyDescent="0.35">
      <c r="A13" s="2">
        <v>2012</v>
      </c>
      <c r="B13" s="3">
        <v>45992</v>
      </c>
      <c r="C13" s="2" t="s">
        <v>32</v>
      </c>
      <c r="D13" s="2" t="s">
        <v>33</v>
      </c>
      <c r="E13" s="2" t="s">
        <v>34</v>
      </c>
      <c r="F13" s="2" t="s">
        <v>35</v>
      </c>
      <c r="G13" s="2" t="s">
        <v>31</v>
      </c>
      <c r="H13" s="2" t="s">
        <v>17</v>
      </c>
      <c r="I13" s="2" t="s">
        <v>18</v>
      </c>
      <c r="J13" s="2">
        <v>2</v>
      </c>
      <c r="K13" s="2">
        <v>19500</v>
      </c>
      <c r="L13" s="4">
        <v>0.1</v>
      </c>
      <c r="M13" s="2">
        <f>Table1[[#This Row],[UnitsSold]]*Table1[[#This Row],[UnitPrice]]</f>
        <v>39000</v>
      </c>
      <c r="N13" s="2">
        <f>Table1[[#This Row],[Gross sales]]*Table1[[#This Row],[Discount]]</f>
        <v>3900</v>
      </c>
      <c r="O13" s="2">
        <f>Table1[[#This Row],[Gross sales]]-Table1[[#This Row],[Discount Amount]]</f>
        <v>35100</v>
      </c>
      <c r="P13" s="5" t="str">
        <f>TEXT(Table1[[#This Row],[OrderDate]],"mmmm")</f>
        <v>December</v>
      </c>
      <c r="Q13" s="5" t="str">
        <f>"Q" &amp; ROUNDUP(MONTH(Table1[[#This Row],[OrderDate]])/3,0)</f>
        <v>Q4</v>
      </c>
      <c r="R13" s="5" t="str">
        <f>IF(Table1[[#This Row],[Net Sales]]&gt;=30000,"High",
 IF(AND(Table1[[#This Row],[Net Sales]]&gt;=10000,Table1[[#This Row],[Net Sales]]&lt;=29999),"Medium",
 IF(Table1[[#This Row],[Net Sales]]&lt;10000,"Low","")))</f>
        <v>High</v>
      </c>
      <c r="S13" s="5">
        <f>Table1[[#This Row],[Net Sales]]*IF(Table1[[#This Row],[Category]]="Electronics",20%,
 IF(Table1[[#This Row],[Category]]="Accessories",35%,0))</f>
        <v>7020</v>
      </c>
    </row>
  </sheetData>
  <pageMargins left="0.7" right="0.7" top="0.75" bottom="0.75" header="0.3" footer="0.3"/>
  <pageSetup paperSize="9" orientation="portrait" horizontalDpi="4294967295" verticalDpi="4294967295"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Net Sales by Region &amp; Channel</vt:lpstr>
      <vt:lpstr>Profit Analysis by Category</vt:lpstr>
      <vt:lpstr>  Salesperson Performance</vt:lpstr>
      <vt:lpstr>Time Analysis</vt:lpstr>
      <vt:lpstr>Sales Band Distribution</vt:lpstr>
      <vt:lpstr>Sales Performance Dashboard</vt:lpstr>
      <vt:lpstr>KPIs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COMPUMARTS</dc:creator>
  <cp:lastModifiedBy>COMPUMARTS</cp:lastModifiedBy>
  <dcterms:created xsi:type="dcterms:W3CDTF">2015-06-05T18:17:20Z</dcterms:created>
  <dcterms:modified xsi:type="dcterms:W3CDTF">2026-01-09T13:14:03Z</dcterms:modified>
</cp:coreProperties>
</file>